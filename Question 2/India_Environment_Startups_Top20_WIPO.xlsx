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13_ncr:1_{3C74B2C7-861D-4E19-9209-3D57E0A6659B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EADME" sheetId="1" r:id="rId1"/>
    <sheet name="Top20" sheetId="2" r:id="rId2"/>
    <sheet name="Longlist_Exclusions" sheetId="3" r:id="rId3"/>
    <sheet name="Aliases" sheetId="4" r:id="rId4"/>
    <sheet name="Patent_Summary" sheetId="6" r:id="rId5"/>
    <sheet name="Sources" sheetId="7" r:id="rId6"/>
    <sheet name="WIPO_Raw" sheetId="5" state="hidden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6" l="1"/>
  <c r="F29" i="6" s="1"/>
  <c r="E24" i="6"/>
  <c r="D24" i="6"/>
  <c r="C24" i="6"/>
  <c r="B24" i="6"/>
  <c r="J24" i="6" s="1"/>
  <c r="E23" i="6"/>
  <c r="D23" i="6"/>
  <c r="C23" i="6"/>
  <c r="B23" i="6"/>
  <c r="E22" i="6"/>
  <c r="D22" i="6"/>
  <c r="C22" i="6"/>
  <c r="B22" i="6"/>
  <c r="F22" i="6" s="1"/>
  <c r="E21" i="6"/>
  <c r="D21" i="6"/>
  <c r="C21" i="6"/>
  <c r="B21" i="6"/>
  <c r="J21" i="6" s="1"/>
  <c r="E20" i="6"/>
  <c r="D20" i="6"/>
  <c r="C20" i="6"/>
  <c r="B20" i="6"/>
  <c r="J20" i="6" s="1"/>
  <c r="E19" i="6"/>
  <c r="D19" i="6"/>
  <c r="C19" i="6"/>
  <c r="B19" i="6"/>
  <c r="G19" i="6" s="1"/>
  <c r="E18" i="6"/>
  <c r="D18" i="6"/>
  <c r="C18" i="6"/>
  <c r="B18" i="6"/>
  <c r="J18" i="6" s="1"/>
  <c r="E17" i="6"/>
  <c r="D17" i="6"/>
  <c r="C17" i="6"/>
  <c r="B17" i="6"/>
  <c r="E16" i="6"/>
  <c r="D16" i="6"/>
  <c r="C16" i="6"/>
  <c r="B16" i="6"/>
  <c r="E15" i="6"/>
  <c r="D15" i="6"/>
  <c r="C15" i="6"/>
  <c r="B15" i="6"/>
  <c r="J15" i="6" s="1"/>
  <c r="E14" i="6"/>
  <c r="D14" i="6"/>
  <c r="C14" i="6"/>
  <c r="B14" i="6"/>
  <c r="J14" i="6" s="1"/>
  <c r="E13" i="6"/>
  <c r="D13" i="6"/>
  <c r="C13" i="6"/>
  <c r="B13" i="6"/>
  <c r="G13" i="6" s="1"/>
  <c r="E12" i="6"/>
  <c r="D12" i="6"/>
  <c r="C12" i="6"/>
  <c r="B12" i="6"/>
  <c r="J12" i="6" s="1"/>
  <c r="E11" i="6"/>
  <c r="D11" i="6"/>
  <c r="C11" i="6"/>
  <c r="B11" i="6"/>
  <c r="E10" i="6"/>
  <c r="D10" i="6"/>
  <c r="C10" i="6"/>
  <c r="B10" i="6"/>
  <c r="E9" i="6"/>
  <c r="D9" i="6"/>
  <c r="C9" i="6"/>
  <c r="B9" i="6"/>
  <c r="J9" i="6" s="1"/>
  <c r="E8" i="6"/>
  <c r="D8" i="6"/>
  <c r="C8" i="6"/>
  <c r="B8" i="6"/>
  <c r="J8" i="6" s="1"/>
  <c r="E7" i="6"/>
  <c r="D7" i="6"/>
  <c r="C7" i="6"/>
  <c r="B7" i="6"/>
  <c r="G7" i="6" s="1"/>
  <c r="E6" i="6"/>
  <c r="D6" i="6"/>
  <c r="C6" i="6"/>
  <c r="B6" i="6"/>
  <c r="J6" i="6" s="1"/>
  <c r="E5" i="6"/>
  <c r="D5" i="6"/>
  <c r="C5" i="6"/>
  <c r="B5" i="6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F27" i="6" s="1"/>
  <c r="L5" i="5"/>
  <c r="G27" i="2"/>
  <c r="G28" i="2" s="1"/>
  <c r="G26" i="2"/>
  <c r="A24" i="2"/>
  <c r="A24" i="6" s="1"/>
  <c r="A23" i="2"/>
  <c r="A23" i="6" s="1"/>
  <c r="A22" i="2"/>
  <c r="A22" i="6" s="1"/>
  <c r="A21" i="2"/>
  <c r="A21" i="6" s="1"/>
  <c r="A20" i="2"/>
  <c r="A20" i="6" s="1"/>
  <c r="A19" i="2"/>
  <c r="A19" i="6" s="1"/>
  <c r="A18" i="2"/>
  <c r="A18" i="6" s="1"/>
  <c r="A17" i="2"/>
  <c r="A17" i="6" s="1"/>
  <c r="A16" i="2"/>
  <c r="A16" i="6" s="1"/>
  <c r="A15" i="2"/>
  <c r="A15" i="6" s="1"/>
  <c r="A14" i="2"/>
  <c r="A14" i="6" s="1"/>
  <c r="A13" i="2"/>
  <c r="A13" i="6" s="1"/>
  <c r="A12" i="2"/>
  <c r="A12" i="6" s="1"/>
  <c r="A11" i="2"/>
  <c r="A11" i="6" s="1"/>
  <c r="A10" i="2"/>
  <c r="A10" i="6" s="1"/>
  <c r="A9" i="2"/>
  <c r="A9" i="6" s="1"/>
  <c r="A8" i="2"/>
  <c r="A8" i="6" s="1"/>
  <c r="A7" i="2"/>
  <c r="A7" i="6" s="1"/>
  <c r="A6" i="2"/>
  <c r="A6" i="6" s="1"/>
  <c r="A5" i="2"/>
  <c r="A5" i="6" s="1"/>
  <c r="I22" i="6" l="1"/>
  <c r="F6" i="6"/>
  <c r="F12" i="6"/>
  <c r="F18" i="6"/>
  <c r="F24" i="6"/>
  <c r="G6" i="6"/>
  <c r="G12" i="6"/>
  <c r="G18" i="6"/>
  <c r="G24" i="6"/>
  <c r="F5" i="6"/>
  <c r="J7" i="6"/>
  <c r="F11" i="6"/>
  <c r="J13" i="6"/>
  <c r="F17" i="6"/>
  <c r="J19" i="6"/>
  <c r="F23" i="6"/>
  <c r="G5" i="6"/>
  <c r="G11" i="6"/>
  <c r="G17" i="6"/>
  <c r="G23" i="6"/>
  <c r="F10" i="6"/>
  <c r="F16" i="6"/>
  <c r="G10" i="6"/>
  <c r="G16" i="6"/>
  <c r="G22" i="6"/>
  <c r="H22" i="6" s="1"/>
  <c r="J5" i="6"/>
  <c r="F9" i="6"/>
  <c r="J11" i="6"/>
  <c r="F15" i="6"/>
  <c r="J17" i="6"/>
  <c r="F21" i="6"/>
  <c r="J23" i="6"/>
  <c r="G9" i="6"/>
  <c r="G15" i="6"/>
  <c r="G21" i="6"/>
  <c r="F8" i="6"/>
  <c r="J10" i="6"/>
  <c r="F14" i="6"/>
  <c r="J16" i="6"/>
  <c r="F20" i="6"/>
  <c r="J22" i="6"/>
  <c r="G8" i="6"/>
  <c r="G14" i="6"/>
  <c r="G20" i="6"/>
  <c r="F7" i="6"/>
  <c r="F13" i="6"/>
  <c r="F19" i="6"/>
  <c r="F26" i="6" l="1"/>
  <c r="I5" i="6"/>
  <c r="H5" i="6"/>
  <c r="I19" i="6"/>
  <c r="H19" i="6"/>
  <c r="I10" i="6"/>
  <c r="H10" i="6"/>
  <c r="I15" i="6"/>
  <c r="H15" i="6"/>
  <c r="G26" i="6"/>
  <c r="I24" i="6"/>
  <c r="H24" i="6"/>
  <c r="I21" i="6"/>
  <c r="H21" i="6"/>
  <c r="I23" i="6"/>
  <c r="H23" i="6"/>
  <c r="I18" i="6"/>
  <c r="H18" i="6"/>
  <c r="I13" i="6"/>
  <c r="H13" i="6"/>
  <c r="I9" i="6"/>
  <c r="H9" i="6"/>
  <c r="I12" i="6"/>
  <c r="H12" i="6"/>
  <c r="I16" i="6"/>
  <c r="H16" i="6"/>
  <c r="I20" i="6"/>
  <c r="H20" i="6"/>
  <c r="J26" i="6"/>
  <c r="I17" i="6"/>
  <c r="H17" i="6"/>
  <c r="I6" i="6"/>
  <c r="H6" i="6"/>
  <c r="I7" i="6"/>
  <c r="H7" i="6"/>
  <c r="I14" i="6"/>
  <c r="H14" i="6"/>
  <c r="I8" i="6"/>
  <c r="H8" i="6"/>
  <c r="I11" i="6"/>
  <c r="H11" i="6"/>
  <c r="H26" i="6" l="1"/>
</calcChain>
</file>

<file path=xl/sharedStrings.xml><?xml version="1.0" encoding="utf-8"?>
<sst xmlns="http://schemas.openxmlformats.org/spreadsheetml/2006/main" count="446" uniqueCount="275">
  <si>
    <t>India environment startups: top 20 and WIPO patent matching</t>
  </si>
  <si>
    <t>Prepared 19 Oct 2026. Funding figures are secondary-source (aggregator) data and must be re-verified before publication.</t>
  </si>
  <si>
    <t>SHEETS</t>
  </si>
  <si>
    <t>Top20: ranked list with startup-level details (Deliverable 1.iii).</t>
  </si>
  <si>
    <t>Longlist_Exclusions: candidates considered but excluded, with reasons, plus next in line (supports Deliverable 1.ii).</t>
  </si>
  <si>
    <t>Aliases: applicant-name strings used to match WIPO records to companies (Deliverable 2.iii). Edit this sheet.</t>
  </si>
  <si>
    <t>WIPO_Raw: paste raw PATENTSCOPE export here (Deliverable 2.i). Column L matches each record to a company automatically.</t>
  </si>
  <si>
    <t>Patent_Summary: WIPO counts merged with Top20 details. Updates automatically from WIPO_Raw (Deliverable 2.ii).</t>
  </si>
  <si>
    <t>Sources: where every number came from.</t>
  </si>
  <si>
    <t>STATUS: WHAT IS DONE AND WHAT IS NOT</t>
  </si>
  <si>
    <t>DONE: top-20 list, ranking, startup details, exclusion log, alias table, matching formulas.</t>
  </si>
  <si>
    <t>NOT DONE: the WIPO raw download. It could not be run from this environment (no direct access to PATENTSCOPE). WIPO_Raw is an empty template, so Patent_Summary shows zeros until you paste data.</t>
  </si>
  <si>
    <t>HOW TO USE (yellow cells are yours to edit)</t>
  </si>
  <si>
    <t>1. Confirm legal entity names for each company (MCA21 / Tofler), then edit the Aliases sheet.</t>
  </si>
  <si>
    <t>2. Run the PATENTSCOPE searches in the Word document (section 4), export results, paste rows into WIPO_Raw columns A-J starting at row 5.</t>
  </si>
  <si>
    <t>3. Column K (Status): type Filed or Granted. Column M (Review): type Confirmed or False positive after checking each match.</t>
  </si>
  <si>
    <t>4. Patent_Summary recalculates. Example of a correctly filled row: A: WO2024123456 | B: 2024-06-13 | E: Euler Motors Private Limited | G: Electric three-wheeler battery housing | K: Filed | M: Confirmed. (Delete it if you paste it in; it is for format only.)</t>
  </si>
  <si>
    <t>COLOUR LEGEND: blue text = hardcoded input from a source; black = formula; yellow fill = cell you should fill in.</t>
  </si>
  <si>
    <t>Top 20 environment / climate-tech startups in India, ranked by total disclosed funding</t>
  </si>
  <si>
    <t>Funding in USD millions, equity plus debt as reported by the source. Ranking rule and exclusions are in Longlist_Exclusions and the Word document.</t>
  </si>
  <si>
    <t>Rank</t>
  </si>
  <si>
    <t>Company</t>
  </si>
  <si>
    <t>Segment</t>
  </si>
  <si>
    <t>Founded</t>
  </si>
  <si>
    <t>HQ</t>
  </si>
  <si>
    <t>Founders (as listed)</t>
  </si>
  <si>
    <t>Total funding (USD M)</t>
  </si>
  <si>
    <t>Last funding stage</t>
  </si>
  <si>
    <t>Employees (approx.)</t>
  </si>
  <si>
    <t>Company type</t>
  </si>
  <si>
    <t>Eligibility flag</t>
  </si>
  <si>
    <t>Primary source</t>
  </si>
  <si>
    <t>Verify before use</t>
  </si>
  <si>
    <t>Greenko Group</t>
  </si>
  <si>
    <t>Renewable power and storage</t>
  </si>
  <si>
    <t>Hyderabad</t>
  </si>
  <si>
    <t>Anil Chalamalasetty, Mahesh Kolli</t>
  </si>
  <si>
    <t>n/a</t>
  </si>
  <si>
    <t>Infrastructure / IPP (debt-heavy)</t>
  </si>
  <si>
    <t>Check ownership change</t>
  </si>
  <si>
    <t>S2</t>
  </si>
  <si>
    <t>Founded year and founders from general knowledge, not the source. Figure is an older Inc42 article.</t>
  </si>
  <si>
    <t>Avaada Group</t>
  </si>
  <si>
    <t>Renewable power, green hydrogen, solar manufacturing</t>
  </si>
  <si>
    <t>New Delhi</t>
  </si>
  <si>
    <t>Vineet Mittal</t>
  </si>
  <si>
    <t>Undisclosed</t>
  </si>
  <si>
    <t>2,268</t>
  </si>
  <si>
    <t>S3</t>
  </si>
  <si>
    <t>Another aggregator shows $469.8M; the gap is likely debt and project finance. Founders from general knowledge.</t>
  </si>
  <si>
    <t>EV Co</t>
  </si>
  <si>
    <t>Electric vehicles (entity unclear)</t>
  </si>
  <si>
    <t>Verify</t>
  </si>
  <si>
    <t>Vinod Philips</t>
  </si>
  <si>
    <t>Startup</t>
  </si>
  <si>
    <t>Identity unclear</t>
  </si>
  <si>
    <t>S1</t>
  </si>
  <si>
    <t>Confirm which operating company this record refers to before searching patents.</t>
  </si>
  <si>
    <t>Euler Motors</t>
  </si>
  <si>
    <t>Electric commercial three-wheelers</t>
  </si>
  <si>
    <t>Saurav Kumar</t>
  </si>
  <si>
    <t>Series E</t>
  </si>
  <si>
    <t>1,588</t>
  </si>
  <si>
    <t>Simple Energy</t>
  </si>
  <si>
    <t>Electric two-wheelers</t>
  </si>
  <si>
    <t>Bengaluru</t>
  </si>
  <si>
    <t>Hrishikesh Bhargava +4</t>
  </si>
  <si>
    <t>Series C</t>
  </si>
  <si>
    <t>673</t>
  </si>
  <si>
    <t>A Rs 1,750 crore Series C was reported on 30 Sep 2026 (S5); check it is in the figure.</t>
  </si>
  <si>
    <t>Bounce</t>
  </si>
  <si>
    <t>Electric mobility and battery swapping</t>
  </si>
  <si>
    <t>Anil G +2</t>
  </si>
  <si>
    <t>637</t>
  </si>
  <si>
    <t>Generic name</t>
  </si>
  <si>
    <t>Legal entity name needed; brand is a common word.</t>
  </si>
  <si>
    <t>Battery Smart</t>
  </si>
  <si>
    <t>Battery swapping</t>
  </si>
  <si>
    <t>Pulkit Khurana +1</t>
  </si>
  <si>
    <t>Debt</t>
  </si>
  <si>
    <t>1,155</t>
  </si>
  <si>
    <t>Another source shows $192M (S5).</t>
  </si>
  <si>
    <t>Ultraviolette Automotive</t>
  </si>
  <si>
    <t>Electric motorcycles</t>
  </si>
  <si>
    <t>Narayan Subramaniam +1</t>
  </si>
  <si>
    <t>586</t>
  </si>
  <si>
    <t>An $85M round was reported Sep 2026 (S5); check it is in the figure.</t>
  </si>
  <si>
    <t>Carbon Clean Solutions</t>
  </si>
  <si>
    <t>Carbon capture</t>
  </si>
  <si>
    <t>London (UK); India operations</t>
  </si>
  <si>
    <t>Aniruddha Sharma +1</t>
  </si>
  <si>
    <t>188</t>
  </si>
  <si>
    <t>Borderline: HQ outside India</t>
  </si>
  <si>
    <t>Indian origin but UK headquarters; confirm eligibility under your own definition.</t>
  </si>
  <si>
    <t>CleanMax</t>
  </si>
  <si>
    <t>Commercial and industrial solar</t>
  </si>
  <si>
    <t>Mumbai</t>
  </si>
  <si>
    <t>Kuldeep Jain</t>
  </si>
  <si>
    <t>S4</t>
  </si>
  <si>
    <t>Older Inc42 figure; refresh. Founded year and founder from general knowledge.</t>
  </si>
  <si>
    <t>River</t>
  </si>
  <si>
    <t>Electric scooters</t>
  </si>
  <si>
    <t>Aravind Mani +1</t>
  </si>
  <si>
    <t>1,174</t>
  </si>
  <si>
    <t>Legal entity name needed.</t>
  </si>
  <si>
    <t>SUN Mobility</t>
  </si>
  <si>
    <t>Battery swapping and energy infrastructure</t>
  </si>
  <si>
    <t>Ajay Goel +2</t>
  </si>
  <si>
    <t>959</t>
  </si>
  <si>
    <t>Another source shows $50M (S6); older.</t>
  </si>
  <si>
    <t>SolarSquare</t>
  </si>
  <si>
    <t>Rooftop solar</t>
  </si>
  <si>
    <t>Shreya Mishra +2</t>
  </si>
  <si>
    <t>2,924</t>
  </si>
  <si>
    <t>Ecozen Solutions</t>
  </si>
  <si>
    <t>Solar cold chain and agri-energy</t>
  </si>
  <si>
    <t>Pune</t>
  </si>
  <si>
    <t>Devendra Gupta +2</t>
  </si>
  <si>
    <t>620</t>
  </si>
  <si>
    <t>Another source shows $104M (S5).</t>
  </si>
  <si>
    <t>EKA Mobility</t>
  </si>
  <si>
    <t>Electric buses and commercial EVs</t>
  </si>
  <si>
    <t>Sudhir Mehta</t>
  </si>
  <si>
    <t>1,113</t>
  </si>
  <si>
    <t>Group-backed</t>
  </si>
  <si>
    <t>Promoter-backed; confirm it meets your startup definition.</t>
  </si>
  <si>
    <t>Bidgely</t>
  </si>
  <si>
    <t>Energy analytics software</t>
  </si>
  <si>
    <t>Los Altos (US); Bengaluru operations</t>
  </si>
  <si>
    <t>Abhay Gupta +1</t>
  </si>
  <si>
    <t>277</t>
  </si>
  <si>
    <t>Confirm eligibility.</t>
  </si>
  <si>
    <t>Matter</t>
  </si>
  <si>
    <t>Electric motorcycles and batteries</t>
  </si>
  <si>
    <t>Ahmedabad</t>
  </si>
  <si>
    <t>Arun Pratap Singh +3</t>
  </si>
  <si>
    <t>754</t>
  </si>
  <si>
    <t>ChargeZone</t>
  </si>
  <si>
    <t>EV charging</t>
  </si>
  <si>
    <t>Kartikey Hariyani</t>
  </si>
  <si>
    <t>Venture round</t>
  </si>
  <si>
    <t>213</t>
  </si>
  <si>
    <t>Twenty Two Motors</t>
  </si>
  <si>
    <t>Parveen Kharb +1</t>
  </si>
  <si>
    <t>Corporate round</t>
  </si>
  <si>
    <t>19</t>
  </si>
  <si>
    <t>Employee count looks low against funding; confirm.</t>
  </si>
  <si>
    <t>Exponent Energy</t>
  </si>
  <si>
    <t>Fast-charging batteries and charging</t>
  </si>
  <si>
    <t>Arun Vinayak +1</t>
  </si>
  <si>
    <t>334</t>
  </si>
  <si>
    <t>Total, all 20</t>
  </si>
  <si>
    <t>Total, VC-style startups only (excludes Infrastructure / IPP)</t>
  </si>
  <si>
    <t>Share of total held by Infrastructure / IPP</t>
  </si>
  <si>
    <t>Source codes S1-S6 are listed on the Sources sheet. Blue = hardcoded from source.</t>
  </si>
  <si>
    <t>Candidates considered but not in the top 20, and next in line</t>
  </si>
  <si>
    <t>Ranking rule: total disclosed funding (USD), after applying the inclusion tests in the Word document, section 2.</t>
  </si>
  <si>
    <t>Decision</t>
  </si>
  <si>
    <t>Reason</t>
  </si>
  <si>
    <t>Source</t>
  </si>
  <si>
    <t>ReNew Energy</t>
  </si>
  <si>
    <t>Excluded</t>
  </si>
  <si>
    <t>Publicly listed company (Nasdaq). Verify current listing status.</t>
  </si>
  <si>
    <t>Ola Electric</t>
  </si>
  <si>
    <t>Publicly listed in India since 2024.</t>
  </si>
  <si>
    <t>ACME Solar</t>
  </si>
  <si>
    <t>Publicly listed in India since 2024; Inc42 shows post-IPO debt.</t>
  </si>
  <si>
    <t>Ather Energy</t>
  </si>
  <si>
    <t>Publicly listed in India since 2025.</t>
  </si>
  <si>
    <t>Smartron</t>
  </si>
  <si>
    <t>Classified Clean Tech by the source, but it is a consumer electronics and IoT business, outside the environment scope.</t>
  </si>
  <si>
    <t>Agratas</t>
  </si>
  <si>
    <t>Battery arm of the Tata group; not an independent startup.</t>
  </si>
  <si>
    <t>Gensol Engineering</t>
  </si>
  <si>
    <t>Listed company; the source classes it as an investor, not an operating startup.</t>
  </si>
  <si>
    <t>Recykal</t>
  </si>
  <si>
    <t>Next in line (rank 21)</t>
  </si>
  <si>
    <t>Waste and recycling marketplace. Would enter the top 20 if either borderline-HQ company (Carbon Clean, Bidgely) is dropped.</t>
  </si>
  <si>
    <t>Inox Clean Energy</t>
  </si>
  <si>
    <t>Not ranked</t>
  </si>
  <si>
    <t>A $344M Series D was reported in 2026, but no cumulative total was retrieved and it appears to be group-owned. Verify.</t>
  </si>
  <si>
    <t>S5</t>
  </si>
  <si>
    <t>Radiance Renewables</t>
  </si>
  <si>
    <t>A $100M round was reported in Feb 2026; cumulative total not retrieved. Verify.</t>
  </si>
  <si>
    <t>S7</t>
  </si>
  <si>
    <t>Applicant-name strings used for matching (edit me)</t>
  </si>
  <si>
    <t>Each row is searched as a substring (case-insensitive) inside the WIPO applicant field. Column B must equal the company name on Top20 exactly. Add legal entity names after checking MCA21.</t>
  </si>
  <si>
    <t>Alias (search string)</t>
  </si>
  <si>
    <t>Company (must match Top20)</t>
  </si>
  <si>
    <t>Basis</t>
  </si>
  <si>
    <t>False-positive risk</t>
  </si>
  <si>
    <t>Notes</t>
  </si>
  <si>
    <t>Greenko</t>
  </si>
  <si>
    <t>Brand</t>
  </si>
  <si>
    <t>Low</t>
  </si>
  <si>
    <t>Group has many subsidiaries; capture legal entity names.</t>
  </si>
  <si>
    <t>Avaada</t>
  </si>
  <si>
    <t>Several Avaada Pvt Ltd entities.</t>
  </si>
  <si>
    <t>High</t>
  </si>
  <si>
    <t>Very generic. Do not use until the legal entity is confirmed.</t>
  </si>
  <si>
    <t>Medium</t>
  </si>
  <si>
    <t>Common phrase; review every hit.</t>
  </si>
  <si>
    <t>Common word; use legal entity name instead.</t>
  </si>
  <si>
    <t>BatterySmart</t>
  </si>
  <si>
    <t>Spelling variant</t>
  </si>
  <si>
    <t>Ultraviolette</t>
  </si>
  <si>
    <t>Carbon Clean</t>
  </si>
  <si>
    <t>Files under the UK entity as well.</t>
  </si>
  <si>
    <t>River Mobility</t>
  </si>
  <si>
    <t>Working legal name</t>
  </si>
  <si>
    <t>Confirm legal name; plain 'River' would create many false hits.</t>
  </si>
  <si>
    <t>Solar Square</t>
  </si>
  <si>
    <t>Ecozen</t>
  </si>
  <si>
    <t>Eka Mobility</t>
  </si>
  <si>
    <t>Mostly files as a US entity.</t>
  </si>
  <si>
    <t>Matter Motor Works</t>
  </si>
  <si>
    <t>Confirm legal name on MCA21.</t>
  </si>
  <si>
    <t>Charge Zone</t>
  </si>
  <si>
    <t>WIPO PATENTSCOPE raw export (paste here)</t>
  </si>
  <si>
    <t>Paste export rows into columns A-J from row 5. Columns K and M are typed by you. Column L is a formula (rows 5-2004). Column names follow the PATENTSCOPE export; rename to match your file if needed.</t>
  </si>
  <si>
    <t>Publication number</t>
  </si>
  <si>
    <t>Publication date</t>
  </si>
  <si>
    <t>Application number</t>
  </si>
  <si>
    <t>Filing date</t>
  </si>
  <si>
    <t>Applicant(s)</t>
  </si>
  <si>
    <t>Inventor(s)</t>
  </si>
  <si>
    <t>Title</t>
  </si>
  <si>
    <t>IPC</t>
  </si>
  <si>
    <t>Office / country</t>
  </si>
  <si>
    <t>Kind code</t>
  </si>
  <si>
    <t>Status (Filed / Granted)</t>
  </si>
  <si>
    <t>Matched company (formula)</t>
  </si>
  <si>
    <t>Review (Confirmed / False positive)</t>
  </si>
  <si>
    <t>Match note</t>
  </si>
  <si>
    <t>WIPO patent records merged with startup details</t>
  </si>
  <si>
    <t>Counts exclude records you mark 'False positive'. All cells are formulas; they fill in once WIPO_Raw has data.</t>
  </si>
  <si>
    <t>Patent records (matched)</t>
  </si>
  <si>
    <t>Granted</t>
  </si>
  <si>
    <t>Filed (not granted)</t>
  </si>
  <si>
    <t>Patents per USD 100M funding</t>
  </si>
  <si>
    <t>Records pending review</t>
  </si>
  <si>
    <t>Total matched</t>
  </si>
  <si>
    <t>Records with no company match (UNMATCHED)</t>
  </si>
  <si>
    <t>Total records in WIPO_Raw</t>
  </si>
  <si>
    <t>Check: matched + unmatched = total (should be 0)</t>
  </si>
  <si>
    <t>Green text = linked from Top20. 'False positive' records are removed from counts but stay in WIPO_Raw for audit.</t>
  </si>
  <si>
    <t>Sources</t>
  </si>
  <si>
    <t>Code</t>
  </si>
  <si>
    <t>URL</t>
  </si>
  <si>
    <t>What it supplied</t>
  </si>
  <si>
    <t>Inc42 Datalabs, Top 30 Funded Cleantech Startups in India 2026</t>
  </si>
  <si>
    <t>https://inc42.com/lists/top-30-funded-cleantech-startups-in-india-2026/</t>
  </si>
  <si>
    <t>Ranked funding, founded year, founders, last stage, employees for ranks 3-20 and exclusions</t>
  </si>
  <si>
    <t>Inc42, 7 Cleantech Startups Promoting Sustainable Lifestyle in India</t>
  </si>
  <si>
    <t>https://inc42.com/?p=438230</t>
  </si>
  <si>
    <t>Greenko and CleanMax total funding (older figures)</t>
  </si>
  <si>
    <t>Inc42 company page, Avaada</t>
  </si>
  <si>
    <t>https://inc42.com/company/avaada/funding/</t>
  </si>
  <si>
    <t>Avaada total funding $3.70B+ as of Jan 2025</t>
  </si>
  <si>
    <t>Inc42 article cited in S2</t>
  </si>
  <si>
    <t>CleanMax $188.2M</t>
  </si>
  <si>
    <t>Best Startup India, climate tech articles (2026)</t>
  </si>
  <si>
    <t>https://beststartup.in/climate-tech-startups-india-2026/</t>
  </si>
  <si>
    <t>Cross-check figures (Battery Smart, Ecozen), recent rounds (Simple Energy, Ultraviolette, Inox Clean Energy)</t>
  </si>
  <si>
    <t>S6</t>
  </si>
  <si>
    <t>Inc42 web story, 10 most funded EV startups</t>
  </si>
  <si>
    <t>https://inc42.com/web-stories/10-most-funded-ev-startups-of-india</t>
  </si>
  <si>
    <t>Older SUN Mobility figure for comparison</t>
  </si>
  <si>
    <t>Entrepreneur India weekly wrap, Feb 2026</t>
  </si>
  <si>
    <t>https://india.entrepreneur.com/news-and-trends/weekly-wrap-major-deals-strategic-acquisitions-and-ipo/502706</t>
  </si>
  <si>
    <t>Radiance Renewables $100M round</t>
  </si>
  <si>
    <t>S8</t>
  </si>
  <si>
    <t>Tracxn India Climate Tech 2026 report (press coverage)</t>
  </si>
  <si>
    <t>https://www.downtoearth.org.in/energy/indias-climate-tech-funding-reaches-128-bn-as-energy-security-concerns-drive-investment-surge</t>
  </si>
  <si>
    <t>Sector totals: $12.8B across 1,583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</si>
</sst>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0" borderId="0" xfId="0" applyFont="1"/>
    <xf numFmtId="0" fontId="3" fillId="3" borderId="0" xfId="0" applyFont="1" applyFill="1"/>
    <xf numFmtId="0" fontId="7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/>
    </row>
    <row r="4" spans="1:1" x14ac:dyDescent="0.3">
      <c r="A4" s="4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 t="s">
        <v>7</v>
      </c>
    </row>
    <row r="10" spans="1:1" x14ac:dyDescent="0.3">
      <c r="A10" s="3" t="s">
        <v>8</v>
      </c>
    </row>
    <row r="11" spans="1:1" x14ac:dyDescent="0.3">
      <c r="A11" s="3"/>
    </row>
    <row r="12" spans="1:1" x14ac:dyDescent="0.3">
      <c r="A12" s="4" t="s">
        <v>9</v>
      </c>
    </row>
    <row r="13" spans="1:1" x14ac:dyDescent="0.3">
      <c r="A13" s="3" t="s">
        <v>10</v>
      </c>
    </row>
    <row r="14" spans="1:1" ht="26.4" x14ac:dyDescent="0.3">
      <c r="A14" s="3" t="s">
        <v>11</v>
      </c>
    </row>
    <row r="15" spans="1:1" x14ac:dyDescent="0.3">
      <c r="A15" s="3"/>
    </row>
    <row r="16" spans="1:1" x14ac:dyDescent="0.3">
      <c r="A16" s="4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3" t="s">
        <v>15</v>
      </c>
    </row>
    <row r="20" spans="1:1" ht="26.4" x14ac:dyDescent="0.3">
      <c r="A20" s="3" t="s">
        <v>16</v>
      </c>
    </row>
    <row r="21" spans="1:1" x14ac:dyDescent="0.3">
      <c r="A21" s="3"/>
    </row>
    <row r="22" spans="1:1" x14ac:dyDescent="0.3">
      <c r="A22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:B1048576"/>
    </sheetView>
  </sheetViews>
  <sheetFormatPr defaultColWidth="8.6640625" defaultRowHeight="14.4" x14ac:dyDescent="0.3"/>
  <cols>
    <col min="1" max="1" width="6" customWidth="1"/>
    <col min="2" max="2" width="26" customWidth="1"/>
    <col min="3" max="3" width="32" customWidth="1"/>
    <col min="4" max="4" width="9" customWidth="1"/>
    <col min="5" max="5" width="20" customWidth="1"/>
    <col min="6" max="6" width="26" customWidth="1"/>
    <col min="7" max="8" width="14" customWidth="1"/>
    <col min="9" max="9" width="12" customWidth="1"/>
    <col min="10" max="11" width="22" customWidth="1"/>
    <col min="12" max="12" width="10" customWidth="1"/>
    <col min="13" max="13" width="50" customWidth="1"/>
  </cols>
  <sheetData>
    <row r="1" spans="1:13" ht="17.399999999999999" x14ac:dyDescent="0.3">
      <c r="A1" s="5" t="s">
        <v>18</v>
      </c>
    </row>
    <row r="2" spans="1:13" x14ac:dyDescent="0.3">
      <c r="A2" s="6" t="s">
        <v>19</v>
      </c>
    </row>
    <row r="4" spans="1:13" ht="26.4" x14ac:dyDescent="0.3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</row>
    <row r="5" spans="1:13" ht="26.4" x14ac:dyDescent="0.3">
      <c r="A5" s="8">
        <f t="shared" ref="A5:A24" si="0">RANK(G5,$G$5:$G$24)</f>
        <v>1</v>
      </c>
      <c r="B5" s="8" t="s">
        <v>33</v>
      </c>
      <c r="C5" s="8" t="s">
        <v>34</v>
      </c>
      <c r="D5" s="8">
        <v>2009</v>
      </c>
      <c r="E5" s="8" t="s">
        <v>35</v>
      </c>
      <c r="F5" s="8" t="s">
        <v>36</v>
      </c>
      <c r="G5" s="9">
        <v>6700</v>
      </c>
      <c r="H5" s="8" t="s">
        <v>37</v>
      </c>
      <c r="I5" s="8" t="s">
        <v>37</v>
      </c>
      <c r="J5" s="8" t="s">
        <v>38</v>
      </c>
      <c r="K5" s="8" t="s">
        <v>39</v>
      </c>
      <c r="L5" s="8" t="s">
        <v>40</v>
      </c>
      <c r="M5" s="8" t="s">
        <v>41</v>
      </c>
    </row>
    <row r="6" spans="1:13" ht="26.4" x14ac:dyDescent="0.3">
      <c r="A6" s="8">
        <f t="shared" si="0"/>
        <v>2</v>
      </c>
      <c r="B6" s="8" t="s">
        <v>42</v>
      </c>
      <c r="C6" s="8" t="s">
        <v>43</v>
      </c>
      <c r="D6" s="8">
        <v>2017</v>
      </c>
      <c r="E6" s="8" t="s">
        <v>44</v>
      </c>
      <c r="F6" s="8" t="s">
        <v>45</v>
      </c>
      <c r="G6" s="9">
        <v>3700</v>
      </c>
      <c r="H6" s="8" t="s">
        <v>46</v>
      </c>
      <c r="I6" s="8" t="s">
        <v>47</v>
      </c>
      <c r="J6" s="8" t="s">
        <v>38</v>
      </c>
      <c r="K6" s="8"/>
      <c r="L6" s="8" t="s">
        <v>48</v>
      </c>
      <c r="M6" s="8" t="s">
        <v>49</v>
      </c>
    </row>
    <row r="7" spans="1:13" ht="26.4" x14ac:dyDescent="0.3">
      <c r="A7" s="8">
        <f t="shared" si="0"/>
        <v>3</v>
      </c>
      <c r="B7" s="8" t="s">
        <v>50</v>
      </c>
      <c r="C7" s="8" t="s">
        <v>51</v>
      </c>
      <c r="D7" s="8">
        <v>2022</v>
      </c>
      <c r="E7" s="8" t="s">
        <v>52</v>
      </c>
      <c r="F7" s="8" t="s">
        <v>53</v>
      </c>
      <c r="G7" s="9">
        <v>463.86</v>
      </c>
      <c r="H7" s="8" t="s">
        <v>46</v>
      </c>
      <c r="I7" s="8" t="s">
        <v>37</v>
      </c>
      <c r="J7" s="8" t="s">
        <v>54</v>
      </c>
      <c r="K7" s="8" t="s">
        <v>55</v>
      </c>
      <c r="L7" s="8" t="s">
        <v>56</v>
      </c>
      <c r="M7" s="8" t="s">
        <v>57</v>
      </c>
    </row>
    <row r="8" spans="1:13" x14ac:dyDescent="0.3">
      <c r="A8" s="8">
        <f t="shared" si="0"/>
        <v>4</v>
      </c>
      <c r="B8" s="8" t="s">
        <v>58</v>
      </c>
      <c r="C8" s="8" t="s">
        <v>59</v>
      </c>
      <c r="D8" s="8">
        <v>2018</v>
      </c>
      <c r="E8" s="8" t="s">
        <v>44</v>
      </c>
      <c r="F8" s="8" t="s">
        <v>60</v>
      </c>
      <c r="G8" s="9">
        <v>376.94</v>
      </c>
      <c r="H8" s="8" t="s">
        <v>61</v>
      </c>
      <c r="I8" s="8" t="s">
        <v>62</v>
      </c>
      <c r="J8" s="8" t="s">
        <v>54</v>
      </c>
      <c r="K8" s="8"/>
      <c r="L8" s="8" t="s">
        <v>56</v>
      </c>
      <c r="M8" s="8"/>
    </row>
    <row r="9" spans="1:13" ht="26.4" x14ac:dyDescent="0.3">
      <c r="A9" s="8">
        <f t="shared" si="0"/>
        <v>5</v>
      </c>
      <c r="B9" s="8" t="s">
        <v>63</v>
      </c>
      <c r="C9" s="8" t="s">
        <v>64</v>
      </c>
      <c r="D9" s="8">
        <v>2019</v>
      </c>
      <c r="E9" s="8" t="s">
        <v>65</v>
      </c>
      <c r="F9" s="8" t="s">
        <v>66</v>
      </c>
      <c r="G9" s="9">
        <v>290.5</v>
      </c>
      <c r="H9" s="8" t="s">
        <v>67</v>
      </c>
      <c r="I9" s="8" t="s">
        <v>68</v>
      </c>
      <c r="J9" s="8" t="s">
        <v>54</v>
      </c>
      <c r="K9" s="8"/>
      <c r="L9" s="8" t="s">
        <v>56</v>
      </c>
      <c r="M9" s="8" t="s">
        <v>69</v>
      </c>
    </row>
    <row r="10" spans="1:13" ht="26.4" x14ac:dyDescent="0.3">
      <c r="A10" s="8">
        <f t="shared" si="0"/>
        <v>6</v>
      </c>
      <c r="B10" s="8" t="s">
        <v>70</v>
      </c>
      <c r="C10" s="8" t="s">
        <v>71</v>
      </c>
      <c r="D10" s="8">
        <v>2014</v>
      </c>
      <c r="E10" s="8" t="s">
        <v>65</v>
      </c>
      <c r="F10" s="8" t="s">
        <v>72</v>
      </c>
      <c r="G10" s="9">
        <v>238.06</v>
      </c>
      <c r="H10" s="8" t="s">
        <v>46</v>
      </c>
      <c r="I10" s="8" t="s">
        <v>73</v>
      </c>
      <c r="J10" s="8" t="s">
        <v>54</v>
      </c>
      <c r="K10" s="8" t="s">
        <v>74</v>
      </c>
      <c r="L10" s="8" t="s">
        <v>56</v>
      </c>
      <c r="M10" s="8" t="s">
        <v>75</v>
      </c>
    </row>
    <row r="11" spans="1:13" x14ac:dyDescent="0.3">
      <c r="A11" s="8">
        <f t="shared" si="0"/>
        <v>7</v>
      </c>
      <c r="B11" s="8" t="s">
        <v>76</v>
      </c>
      <c r="C11" s="8" t="s">
        <v>77</v>
      </c>
      <c r="D11" s="8">
        <v>2019</v>
      </c>
      <c r="E11" s="8" t="s">
        <v>44</v>
      </c>
      <c r="F11" s="8" t="s">
        <v>78</v>
      </c>
      <c r="G11" s="9">
        <v>228.09</v>
      </c>
      <c r="H11" s="8" t="s">
        <v>79</v>
      </c>
      <c r="I11" s="8" t="s">
        <v>80</v>
      </c>
      <c r="J11" s="8" t="s">
        <v>54</v>
      </c>
      <c r="K11" s="8"/>
      <c r="L11" s="8" t="s">
        <v>56</v>
      </c>
      <c r="M11" s="8" t="s">
        <v>81</v>
      </c>
    </row>
    <row r="12" spans="1:13" ht="26.4" x14ac:dyDescent="0.3">
      <c r="A12" s="8">
        <f t="shared" si="0"/>
        <v>8</v>
      </c>
      <c r="B12" s="8" t="s">
        <v>82</v>
      </c>
      <c r="C12" s="8" t="s">
        <v>83</v>
      </c>
      <c r="D12" s="8">
        <v>2016</v>
      </c>
      <c r="E12" s="8" t="s">
        <v>65</v>
      </c>
      <c r="F12" s="8" t="s">
        <v>84</v>
      </c>
      <c r="G12" s="9">
        <v>220.9</v>
      </c>
      <c r="H12" s="8" t="s">
        <v>61</v>
      </c>
      <c r="I12" s="8" t="s">
        <v>85</v>
      </c>
      <c r="J12" s="8" t="s">
        <v>54</v>
      </c>
      <c r="K12" s="8"/>
      <c r="L12" s="8" t="s">
        <v>56</v>
      </c>
      <c r="M12" s="8" t="s">
        <v>86</v>
      </c>
    </row>
    <row r="13" spans="1:13" ht="26.4" x14ac:dyDescent="0.3">
      <c r="A13" s="8">
        <f t="shared" si="0"/>
        <v>9</v>
      </c>
      <c r="B13" s="8" t="s">
        <v>87</v>
      </c>
      <c r="C13" s="8" t="s">
        <v>88</v>
      </c>
      <c r="D13" s="8">
        <v>2009</v>
      </c>
      <c r="E13" s="8" t="s">
        <v>89</v>
      </c>
      <c r="F13" s="8" t="s">
        <v>90</v>
      </c>
      <c r="G13" s="9">
        <v>190.61</v>
      </c>
      <c r="H13" s="8" t="s">
        <v>67</v>
      </c>
      <c r="I13" s="8" t="s">
        <v>91</v>
      </c>
      <c r="J13" s="8" t="s">
        <v>54</v>
      </c>
      <c r="K13" s="8" t="s">
        <v>92</v>
      </c>
      <c r="L13" s="8" t="s">
        <v>56</v>
      </c>
      <c r="M13" s="8" t="s">
        <v>93</v>
      </c>
    </row>
    <row r="14" spans="1:13" ht="26.4" x14ac:dyDescent="0.3">
      <c r="A14" s="8">
        <f t="shared" si="0"/>
        <v>10</v>
      </c>
      <c r="B14" s="8" t="s">
        <v>94</v>
      </c>
      <c r="C14" s="8" t="s">
        <v>95</v>
      </c>
      <c r="D14" s="8">
        <v>2010</v>
      </c>
      <c r="E14" s="8" t="s">
        <v>96</v>
      </c>
      <c r="F14" s="8" t="s">
        <v>97</v>
      </c>
      <c r="G14" s="9">
        <v>188.2</v>
      </c>
      <c r="H14" s="8" t="s">
        <v>37</v>
      </c>
      <c r="I14" s="8" t="s">
        <v>37</v>
      </c>
      <c r="J14" s="8" t="s">
        <v>38</v>
      </c>
      <c r="K14" s="8"/>
      <c r="L14" s="8" t="s">
        <v>98</v>
      </c>
      <c r="M14" s="8" t="s">
        <v>99</v>
      </c>
    </row>
    <row r="15" spans="1:13" x14ac:dyDescent="0.3">
      <c r="A15" s="8">
        <f t="shared" si="0"/>
        <v>11</v>
      </c>
      <c r="B15" s="8" t="s">
        <v>100</v>
      </c>
      <c r="C15" s="8" t="s">
        <v>101</v>
      </c>
      <c r="D15" s="8">
        <v>2020</v>
      </c>
      <c r="E15" s="8" t="s">
        <v>65</v>
      </c>
      <c r="F15" s="8" t="s">
        <v>102</v>
      </c>
      <c r="G15" s="9">
        <v>188</v>
      </c>
      <c r="H15" s="8" t="s">
        <v>67</v>
      </c>
      <c r="I15" s="8" t="s">
        <v>103</v>
      </c>
      <c r="J15" s="8" t="s">
        <v>54</v>
      </c>
      <c r="K15" s="8" t="s">
        <v>74</v>
      </c>
      <c r="L15" s="8" t="s">
        <v>56</v>
      </c>
      <c r="M15" s="8" t="s">
        <v>104</v>
      </c>
    </row>
    <row r="16" spans="1:13" ht="26.4" x14ac:dyDescent="0.3">
      <c r="A16" s="8">
        <f t="shared" si="0"/>
        <v>12</v>
      </c>
      <c r="B16" s="8" t="s">
        <v>105</v>
      </c>
      <c r="C16" s="8" t="s">
        <v>106</v>
      </c>
      <c r="D16" s="8">
        <v>2017</v>
      </c>
      <c r="E16" s="8" t="s">
        <v>65</v>
      </c>
      <c r="F16" s="8" t="s">
        <v>107</v>
      </c>
      <c r="G16" s="9">
        <v>135</v>
      </c>
      <c r="H16" s="8" t="s">
        <v>46</v>
      </c>
      <c r="I16" s="8" t="s">
        <v>108</v>
      </c>
      <c r="J16" s="8" t="s">
        <v>54</v>
      </c>
      <c r="K16" s="8"/>
      <c r="L16" s="8" t="s">
        <v>56</v>
      </c>
      <c r="M16" s="8" t="s">
        <v>109</v>
      </c>
    </row>
    <row r="17" spans="1:13" x14ac:dyDescent="0.3">
      <c r="A17" s="8">
        <f t="shared" si="0"/>
        <v>13</v>
      </c>
      <c r="B17" s="8" t="s">
        <v>110</v>
      </c>
      <c r="C17" s="8" t="s">
        <v>111</v>
      </c>
      <c r="D17" s="8">
        <v>2015</v>
      </c>
      <c r="E17" s="8" t="s">
        <v>96</v>
      </c>
      <c r="F17" s="8" t="s">
        <v>112</v>
      </c>
      <c r="G17" s="9">
        <v>113.25</v>
      </c>
      <c r="H17" s="8" t="s">
        <v>46</v>
      </c>
      <c r="I17" s="8" t="s">
        <v>113</v>
      </c>
      <c r="J17" s="8" t="s">
        <v>54</v>
      </c>
      <c r="K17" s="8"/>
      <c r="L17" s="8" t="s">
        <v>56</v>
      </c>
      <c r="M17" s="8"/>
    </row>
    <row r="18" spans="1:13" x14ac:dyDescent="0.3">
      <c r="A18" s="8">
        <f t="shared" si="0"/>
        <v>14</v>
      </c>
      <c r="B18" s="8" t="s">
        <v>114</v>
      </c>
      <c r="C18" s="8" t="s">
        <v>115</v>
      </c>
      <c r="D18" s="8">
        <v>2010</v>
      </c>
      <c r="E18" s="8" t="s">
        <v>116</v>
      </c>
      <c r="F18" s="8" t="s">
        <v>117</v>
      </c>
      <c r="G18" s="9">
        <v>107.4</v>
      </c>
      <c r="H18" s="8" t="s">
        <v>79</v>
      </c>
      <c r="I18" s="8" t="s">
        <v>118</v>
      </c>
      <c r="J18" s="8" t="s">
        <v>54</v>
      </c>
      <c r="K18" s="8"/>
      <c r="L18" s="8" t="s">
        <v>56</v>
      </c>
      <c r="M18" s="8" t="s">
        <v>119</v>
      </c>
    </row>
    <row r="19" spans="1:13" x14ac:dyDescent="0.3">
      <c r="A19" s="8">
        <f t="shared" si="0"/>
        <v>15</v>
      </c>
      <c r="B19" s="8" t="s">
        <v>120</v>
      </c>
      <c r="C19" s="8" t="s">
        <v>121</v>
      </c>
      <c r="D19" s="8">
        <v>2022</v>
      </c>
      <c r="E19" s="8" t="s">
        <v>116</v>
      </c>
      <c r="F19" s="8" t="s">
        <v>122</v>
      </c>
      <c r="G19" s="9">
        <v>103.94</v>
      </c>
      <c r="H19" s="8" t="s">
        <v>46</v>
      </c>
      <c r="I19" s="8" t="s">
        <v>123</v>
      </c>
      <c r="J19" s="8" t="s">
        <v>54</v>
      </c>
      <c r="K19" s="8" t="s">
        <v>124</v>
      </c>
      <c r="L19" s="8" t="s">
        <v>56</v>
      </c>
      <c r="M19" s="8" t="s">
        <v>125</v>
      </c>
    </row>
    <row r="20" spans="1:13" ht="26.4" x14ac:dyDescent="0.3">
      <c r="A20" s="8">
        <f t="shared" si="0"/>
        <v>16</v>
      </c>
      <c r="B20" s="8" t="s">
        <v>126</v>
      </c>
      <c r="C20" s="8" t="s">
        <v>127</v>
      </c>
      <c r="D20" s="8">
        <v>2011</v>
      </c>
      <c r="E20" s="8" t="s">
        <v>128</v>
      </c>
      <c r="F20" s="8" t="s">
        <v>129</v>
      </c>
      <c r="G20" s="9">
        <v>97.67</v>
      </c>
      <c r="H20" s="8" t="s">
        <v>46</v>
      </c>
      <c r="I20" s="8" t="s">
        <v>130</v>
      </c>
      <c r="J20" s="8" t="s">
        <v>54</v>
      </c>
      <c r="K20" s="8" t="s">
        <v>92</v>
      </c>
      <c r="L20" s="8" t="s">
        <v>56</v>
      </c>
      <c r="M20" s="8" t="s">
        <v>131</v>
      </c>
    </row>
    <row r="21" spans="1:13" x14ac:dyDescent="0.3">
      <c r="A21" s="8">
        <f t="shared" si="0"/>
        <v>17</v>
      </c>
      <c r="B21" s="8" t="s">
        <v>132</v>
      </c>
      <c r="C21" s="8" t="s">
        <v>133</v>
      </c>
      <c r="D21" s="8">
        <v>2019</v>
      </c>
      <c r="E21" s="8" t="s">
        <v>134</v>
      </c>
      <c r="F21" s="8" t="s">
        <v>135</v>
      </c>
      <c r="G21" s="9">
        <v>88</v>
      </c>
      <c r="H21" s="8" t="s">
        <v>46</v>
      </c>
      <c r="I21" s="8" t="s">
        <v>136</v>
      </c>
      <c r="J21" s="8" t="s">
        <v>54</v>
      </c>
      <c r="K21" s="8" t="s">
        <v>74</v>
      </c>
      <c r="L21" s="8" t="s">
        <v>56</v>
      </c>
      <c r="M21" s="8" t="s">
        <v>104</v>
      </c>
    </row>
    <row r="22" spans="1:13" x14ac:dyDescent="0.3">
      <c r="A22" s="8">
        <f t="shared" si="0"/>
        <v>18</v>
      </c>
      <c r="B22" s="8" t="s">
        <v>137</v>
      </c>
      <c r="C22" s="8" t="s">
        <v>138</v>
      </c>
      <c r="D22" s="8">
        <v>2018</v>
      </c>
      <c r="E22" s="8" t="s">
        <v>52</v>
      </c>
      <c r="F22" s="8" t="s">
        <v>139</v>
      </c>
      <c r="G22" s="9">
        <v>86.11</v>
      </c>
      <c r="H22" s="8" t="s">
        <v>140</v>
      </c>
      <c r="I22" s="8" t="s">
        <v>141</v>
      </c>
      <c r="J22" s="8" t="s">
        <v>54</v>
      </c>
      <c r="K22" s="8"/>
      <c r="L22" s="8" t="s">
        <v>56</v>
      </c>
      <c r="M22" s="8"/>
    </row>
    <row r="23" spans="1:13" ht="26.4" x14ac:dyDescent="0.3">
      <c r="A23" s="8">
        <f t="shared" si="0"/>
        <v>19</v>
      </c>
      <c r="B23" s="8" t="s">
        <v>142</v>
      </c>
      <c r="C23" s="8" t="s">
        <v>64</v>
      </c>
      <c r="D23" s="8">
        <v>2016</v>
      </c>
      <c r="E23" s="8" t="s">
        <v>52</v>
      </c>
      <c r="F23" s="8" t="s">
        <v>143</v>
      </c>
      <c r="G23" s="9">
        <v>66.599999999999994</v>
      </c>
      <c r="H23" s="8" t="s">
        <v>144</v>
      </c>
      <c r="I23" s="8" t="s">
        <v>145</v>
      </c>
      <c r="J23" s="8" t="s">
        <v>54</v>
      </c>
      <c r="K23" s="8"/>
      <c r="L23" s="8" t="s">
        <v>56</v>
      </c>
      <c r="M23" s="8" t="s">
        <v>146</v>
      </c>
    </row>
    <row r="24" spans="1:13" x14ac:dyDescent="0.3">
      <c r="A24" s="8">
        <f t="shared" si="0"/>
        <v>20</v>
      </c>
      <c r="B24" s="8" t="s">
        <v>147</v>
      </c>
      <c r="C24" s="8" t="s">
        <v>148</v>
      </c>
      <c r="D24" s="8">
        <v>2020</v>
      </c>
      <c r="E24" s="8" t="s">
        <v>65</v>
      </c>
      <c r="F24" s="8" t="s">
        <v>149</v>
      </c>
      <c r="G24" s="9">
        <v>65.41</v>
      </c>
      <c r="H24" s="8" t="s">
        <v>46</v>
      </c>
      <c r="I24" s="8" t="s">
        <v>150</v>
      </c>
      <c r="J24" s="8" t="s">
        <v>54</v>
      </c>
      <c r="K24" s="8"/>
      <c r="L24" s="8" t="s">
        <v>56</v>
      </c>
      <c r="M24" s="8"/>
    </row>
    <row r="26" spans="1:13" x14ac:dyDescent="0.3">
      <c r="B26" s="10" t="s">
        <v>151</v>
      </c>
      <c r="G26" s="11">
        <f>SUM(G5:G24)</f>
        <v>13648.540000000003</v>
      </c>
    </row>
    <row r="27" spans="1:13" x14ac:dyDescent="0.3">
      <c r="B27" s="10" t="s">
        <v>152</v>
      </c>
      <c r="G27" s="11">
        <f>SUMIF(J5:J24,"Startup",G5:G24)</f>
        <v>3060.34</v>
      </c>
    </row>
    <row r="28" spans="1:13" x14ac:dyDescent="0.3">
      <c r="B28" s="10" t="s">
        <v>153</v>
      </c>
      <c r="G28" s="12">
        <f>1-G27/G26</f>
        <v>0.77577528438939258</v>
      </c>
    </row>
    <row r="30" spans="1:13" x14ac:dyDescent="0.3">
      <c r="B30" s="6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6" customWidth="1"/>
    <col min="3" max="3" width="22" customWidth="1"/>
    <col min="4" max="4" width="80" customWidth="1"/>
    <col min="5" max="5" width="10" customWidth="1"/>
  </cols>
  <sheetData>
    <row r="1" spans="1:5" ht="17.399999999999999" x14ac:dyDescent="0.3">
      <c r="A1" s="5" t="s">
        <v>155</v>
      </c>
    </row>
    <row r="2" spans="1:5" x14ac:dyDescent="0.3">
      <c r="A2" s="6" t="s">
        <v>156</v>
      </c>
    </row>
    <row r="4" spans="1:5" ht="26.4" x14ac:dyDescent="0.3">
      <c r="A4" s="7" t="s">
        <v>21</v>
      </c>
      <c r="B4" s="7" t="s">
        <v>26</v>
      </c>
      <c r="C4" s="7" t="s">
        <v>157</v>
      </c>
      <c r="D4" s="7" t="s">
        <v>158</v>
      </c>
      <c r="E4" s="7" t="s">
        <v>159</v>
      </c>
    </row>
    <row r="5" spans="1:5" x14ac:dyDescent="0.3">
      <c r="A5" s="8" t="s">
        <v>160</v>
      </c>
      <c r="B5" s="9">
        <v>4380</v>
      </c>
      <c r="C5" s="8" t="s">
        <v>161</v>
      </c>
      <c r="D5" s="8" t="s">
        <v>162</v>
      </c>
      <c r="E5" s="8" t="s">
        <v>56</v>
      </c>
    </row>
    <row r="6" spans="1:5" x14ac:dyDescent="0.3">
      <c r="A6" s="8" t="s">
        <v>163</v>
      </c>
      <c r="B6" s="9">
        <v>1500</v>
      </c>
      <c r="C6" s="8" t="s">
        <v>161</v>
      </c>
      <c r="D6" s="8" t="s">
        <v>164</v>
      </c>
      <c r="E6" s="8" t="s">
        <v>56</v>
      </c>
    </row>
    <row r="7" spans="1:5" x14ac:dyDescent="0.3">
      <c r="A7" s="8" t="s">
        <v>165</v>
      </c>
      <c r="B7" s="9">
        <v>1250</v>
      </c>
      <c r="C7" s="8" t="s">
        <v>161</v>
      </c>
      <c r="D7" s="8" t="s">
        <v>166</v>
      </c>
      <c r="E7" s="8" t="s">
        <v>56</v>
      </c>
    </row>
    <row r="8" spans="1:5" x14ac:dyDescent="0.3">
      <c r="A8" s="8" t="s">
        <v>167</v>
      </c>
      <c r="B8" s="9">
        <v>574.27</v>
      </c>
      <c r="C8" s="8" t="s">
        <v>161</v>
      </c>
      <c r="D8" s="8" t="s">
        <v>168</v>
      </c>
      <c r="E8" s="8" t="s">
        <v>56</v>
      </c>
    </row>
    <row r="9" spans="1:5" ht="26.4" x14ac:dyDescent="0.3">
      <c r="A9" s="8" t="s">
        <v>169</v>
      </c>
      <c r="B9" s="9">
        <v>200</v>
      </c>
      <c r="C9" s="8" t="s">
        <v>161</v>
      </c>
      <c r="D9" s="8" t="s">
        <v>170</v>
      </c>
      <c r="E9" s="8" t="s">
        <v>56</v>
      </c>
    </row>
    <row r="10" spans="1:5" x14ac:dyDescent="0.3">
      <c r="A10" s="8" t="s">
        <v>171</v>
      </c>
      <c r="B10" s="9">
        <v>113.14</v>
      </c>
      <c r="C10" s="8" t="s">
        <v>161</v>
      </c>
      <c r="D10" s="8" t="s">
        <v>172</v>
      </c>
      <c r="E10" s="8" t="s">
        <v>56</v>
      </c>
    </row>
    <row r="11" spans="1:5" x14ac:dyDescent="0.3">
      <c r="A11" s="8" t="s">
        <v>173</v>
      </c>
      <c r="B11" s="9">
        <v>76.8</v>
      </c>
      <c r="C11" s="8" t="s">
        <v>161</v>
      </c>
      <c r="D11" s="8" t="s">
        <v>174</v>
      </c>
      <c r="E11" s="8" t="s">
        <v>56</v>
      </c>
    </row>
    <row r="12" spans="1:5" ht="26.4" x14ac:dyDescent="0.3">
      <c r="A12" s="8" t="s">
        <v>175</v>
      </c>
      <c r="B12" s="9">
        <v>60.19</v>
      </c>
      <c r="C12" s="8" t="s">
        <v>176</v>
      </c>
      <c r="D12" s="8" t="s">
        <v>177</v>
      </c>
      <c r="E12" s="8" t="s">
        <v>56</v>
      </c>
    </row>
    <row r="13" spans="1:5" ht="26.4" x14ac:dyDescent="0.3">
      <c r="A13" s="8" t="s">
        <v>178</v>
      </c>
      <c r="B13" s="9"/>
      <c r="C13" s="8" t="s">
        <v>179</v>
      </c>
      <c r="D13" s="8" t="s">
        <v>180</v>
      </c>
      <c r="E13" s="8" t="s">
        <v>181</v>
      </c>
    </row>
    <row r="14" spans="1:5" x14ac:dyDescent="0.3">
      <c r="A14" s="8" t="s">
        <v>182</v>
      </c>
      <c r="B14" s="9"/>
      <c r="C14" s="8" t="s">
        <v>179</v>
      </c>
      <c r="D14" s="8" t="s">
        <v>183</v>
      </c>
      <c r="E14" s="8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28" customWidth="1"/>
    <col min="3" max="3" width="20" customWidth="1"/>
    <col min="4" max="4" width="16" customWidth="1"/>
    <col min="5" max="5" width="60" customWidth="1"/>
  </cols>
  <sheetData>
    <row r="1" spans="1:5" ht="17.399999999999999" x14ac:dyDescent="0.3">
      <c r="A1" s="5" t="s">
        <v>185</v>
      </c>
    </row>
    <row r="2" spans="1:5" x14ac:dyDescent="0.3">
      <c r="A2" s="6" t="s">
        <v>186</v>
      </c>
    </row>
    <row r="4" spans="1:5" ht="26.4" x14ac:dyDescent="0.3">
      <c r="A4" s="7" t="s">
        <v>187</v>
      </c>
      <c r="B4" s="7" t="s">
        <v>188</v>
      </c>
      <c r="C4" s="7" t="s">
        <v>189</v>
      </c>
      <c r="D4" s="7" t="s">
        <v>190</v>
      </c>
      <c r="E4" s="7" t="s">
        <v>191</v>
      </c>
    </row>
    <row r="5" spans="1:5" x14ac:dyDescent="0.3">
      <c r="A5" s="13" t="s">
        <v>192</v>
      </c>
      <c r="B5" s="13" t="s">
        <v>33</v>
      </c>
      <c r="C5" s="8" t="s">
        <v>193</v>
      </c>
      <c r="D5" s="8" t="s">
        <v>194</v>
      </c>
      <c r="E5" s="8" t="s">
        <v>195</v>
      </c>
    </row>
    <row r="6" spans="1:5" x14ac:dyDescent="0.3">
      <c r="A6" s="13" t="s">
        <v>196</v>
      </c>
      <c r="B6" s="13" t="s">
        <v>42</v>
      </c>
      <c r="C6" s="8" t="s">
        <v>193</v>
      </c>
      <c r="D6" s="8" t="s">
        <v>194</v>
      </c>
      <c r="E6" s="8" t="s">
        <v>197</v>
      </c>
    </row>
    <row r="7" spans="1:5" x14ac:dyDescent="0.3">
      <c r="A7" s="13" t="s">
        <v>50</v>
      </c>
      <c r="B7" s="13" t="s">
        <v>50</v>
      </c>
      <c r="C7" s="8" t="s">
        <v>193</v>
      </c>
      <c r="D7" s="8" t="s">
        <v>198</v>
      </c>
      <c r="E7" s="8" t="s">
        <v>199</v>
      </c>
    </row>
    <row r="8" spans="1:5" x14ac:dyDescent="0.3">
      <c r="A8" s="13" t="s">
        <v>58</v>
      </c>
      <c r="B8" s="13" t="s">
        <v>58</v>
      </c>
      <c r="C8" s="8" t="s">
        <v>193</v>
      </c>
      <c r="D8" s="8" t="s">
        <v>194</v>
      </c>
      <c r="E8" s="8"/>
    </row>
    <row r="9" spans="1:5" x14ac:dyDescent="0.3">
      <c r="A9" s="13" t="s">
        <v>63</v>
      </c>
      <c r="B9" s="13" t="s">
        <v>63</v>
      </c>
      <c r="C9" s="8" t="s">
        <v>193</v>
      </c>
      <c r="D9" s="8" t="s">
        <v>200</v>
      </c>
      <c r="E9" s="8" t="s">
        <v>201</v>
      </c>
    </row>
    <row r="10" spans="1:5" x14ac:dyDescent="0.3">
      <c r="A10" s="13" t="s">
        <v>70</v>
      </c>
      <c r="B10" s="13" t="s">
        <v>70</v>
      </c>
      <c r="C10" s="8" t="s">
        <v>193</v>
      </c>
      <c r="D10" s="8" t="s">
        <v>198</v>
      </c>
      <c r="E10" s="8" t="s">
        <v>202</v>
      </c>
    </row>
    <row r="11" spans="1:5" x14ac:dyDescent="0.3">
      <c r="A11" s="13" t="s">
        <v>76</v>
      </c>
      <c r="B11" s="13" t="s">
        <v>76</v>
      </c>
      <c r="C11" s="8" t="s">
        <v>193</v>
      </c>
      <c r="D11" s="8" t="s">
        <v>200</v>
      </c>
      <c r="E11" s="8"/>
    </row>
    <row r="12" spans="1:5" x14ac:dyDescent="0.3">
      <c r="A12" s="13" t="s">
        <v>203</v>
      </c>
      <c r="B12" s="13" t="s">
        <v>76</v>
      </c>
      <c r="C12" s="8" t="s">
        <v>204</v>
      </c>
      <c r="D12" s="8" t="s">
        <v>200</v>
      </c>
      <c r="E12" s="8"/>
    </row>
    <row r="13" spans="1:5" x14ac:dyDescent="0.3">
      <c r="A13" s="13" t="s">
        <v>205</v>
      </c>
      <c r="B13" s="13" t="s">
        <v>82</v>
      </c>
      <c r="C13" s="8" t="s">
        <v>193</v>
      </c>
      <c r="D13" s="8" t="s">
        <v>194</v>
      </c>
      <c r="E13" s="8"/>
    </row>
    <row r="14" spans="1:5" x14ac:dyDescent="0.3">
      <c r="A14" s="13" t="s">
        <v>206</v>
      </c>
      <c r="B14" s="13" t="s">
        <v>87</v>
      </c>
      <c r="C14" s="8" t="s">
        <v>193</v>
      </c>
      <c r="D14" s="8" t="s">
        <v>200</v>
      </c>
      <c r="E14" s="8" t="s">
        <v>207</v>
      </c>
    </row>
    <row r="15" spans="1:5" x14ac:dyDescent="0.3">
      <c r="A15" s="13" t="s">
        <v>94</v>
      </c>
      <c r="B15" s="13" t="s">
        <v>94</v>
      </c>
      <c r="C15" s="8" t="s">
        <v>193</v>
      </c>
      <c r="D15" s="8" t="s">
        <v>194</v>
      </c>
      <c r="E15" s="8"/>
    </row>
    <row r="16" spans="1:5" x14ac:dyDescent="0.3">
      <c r="A16" s="13" t="s">
        <v>208</v>
      </c>
      <c r="B16" s="13" t="s">
        <v>100</v>
      </c>
      <c r="C16" s="8" t="s">
        <v>209</v>
      </c>
      <c r="D16" s="8" t="s">
        <v>200</v>
      </c>
      <c r="E16" s="8" t="s">
        <v>210</v>
      </c>
    </row>
    <row r="17" spans="1:5" x14ac:dyDescent="0.3">
      <c r="A17" s="13" t="s">
        <v>105</v>
      </c>
      <c r="B17" s="13" t="s">
        <v>105</v>
      </c>
      <c r="C17" s="8" t="s">
        <v>193</v>
      </c>
      <c r="D17" s="8" t="s">
        <v>200</v>
      </c>
      <c r="E17" s="8"/>
    </row>
    <row r="18" spans="1:5" x14ac:dyDescent="0.3">
      <c r="A18" s="13" t="s">
        <v>110</v>
      </c>
      <c r="B18" s="13" t="s">
        <v>110</v>
      </c>
      <c r="C18" s="8" t="s">
        <v>193</v>
      </c>
      <c r="D18" s="8" t="s">
        <v>194</v>
      </c>
      <c r="E18" s="8"/>
    </row>
    <row r="19" spans="1:5" x14ac:dyDescent="0.3">
      <c r="A19" s="13" t="s">
        <v>211</v>
      </c>
      <c r="B19" s="13" t="s">
        <v>110</v>
      </c>
      <c r="C19" s="8" t="s">
        <v>204</v>
      </c>
      <c r="D19" s="8" t="s">
        <v>200</v>
      </c>
      <c r="E19" s="8"/>
    </row>
    <row r="20" spans="1:5" x14ac:dyDescent="0.3">
      <c r="A20" s="13" t="s">
        <v>212</v>
      </c>
      <c r="B20" s="13" t="s">
        <v>114</v>
      </c>
      <c r="C20" s="8" t="s">
        <v>193</v>
      </c>
      <c r="D20" s="8" t="s">
        <v>194</v>
      </c>
      <c r="E20" s="8"/>
    </row>
    <row r="21" spans="1:5" x14ac:dyDescent="0.3">
      <c r="A21" s="13" t="s">
        <v>213</v>
      </c>
      <c r="B21" s="13" t="s">
        <v>120</v>
      </c>
      <c r="C21" s="8" t="s">
        <v>193</v>
      </c>
      <c r="D21" s="8" t="s">
        <v>194</v>
      </c>
      <c r="E21" s="8"/>
    </row>
    <row r="22" spans="1:5" x14ac:dyDescent="0.3">
      <c r="A22" s="13" t="s">
        <v>126</v>
      </c>
      <c r="B22" s="13" t="s">
        <v>126</v>
      </c>
      <c r="C22" s="8" t="s">
        <v>193</v>
      </c>
      <c r="D22" s="8" t="s">
        <v>194</v>
      </c>
      <c r="E22" s="8" t="s">
        <v>214</v>
      </c>
    </row>
    <row r="23" spans="1:5" x14ac:dyDescent="0.3">
      <c r="A23" s="13" t="s">
        <v>215</v>
      </c>
      <c r="B23" s="13" t="s">
        <v>132</v>
      </c>
      <c r="C23" s="8" t="s">
        <v>209</v>
      </c>
      <c r="D23" s="8" t="s">
        <v>200</v>
      </c>
      <c r="E23" s="8" t="s">
        <v>216</v>
      </c>
    </row>
    <row r="24" spans="1:5" x14ac:dyDescent="0.3">
      <c r="A24" s="13" t="s">
        <v>137</v>
      </c>
      <c r="B24" s="13" t="s">
        <v>137</v>
      </c>
      <c r="C24" s="8" t="s">
        <v>193</v>
      </c>
      <c r="D24" s="8" t="s">
        <v>194</v>
      </c>
      <c r="E24" s="8"/>
    </row>
    <row r="25" spans="1:5" x14ac:dyDescent="0.3">
      <c r="A25" s="13" t="s">
        <v>217</v>
      </c>
      <c r="B25" s="13" t="s">
        <v>137</v>
      </c>
      <c r="C25" s="8" t="s">
        <v>204</v>
      </c>
      <c r="D25" s="8" t="s">
        <v>200</v>
      </c>
      <c r="E25" s="8"/>
    </row>
    <row r="26" spans="1:5" x14ac:dyDescent="0.3">
      <c r="A26" s="13" t="s">
        <v>142</v>
      </c>
      <c r="B26" s="13" t="s">
        <v>142</v>
      </c>
      <c r="C26" s="8" t="s">
        <v>193</v>
      </c>
      <c r="D26" s="8" t="s">
        <v>194</v>
      </c>
      <c r="E26" s="8"/>
    </row>
    <row r="27" spans="1:5" x14ac:dyDescent="0.3">
      <c r="A27" s="13" t="s">
        <v>147</v>
      </c>
      <c r="B27" s="13" t="s">
        <v>147</v>
      </c>
      <c r="C27" s="8" t="s">
        <v>193</v>
      </c>
      <c r="D27" s="8" t="s">
        <v>194</v>
      </c>
      <c r="E27" s="8"/>
    </row>
    <row r="28" spans="1:5" x14ac:dyDescent="0.3">
      <c r="A28" s="14"/>
      <c r="B28" s="14"/>
    </row>
    <row r="29" spans="1:5" x14ac:dyDescent="0.3">
      <c r="A29" s="14"/>
      <c r="B29" s="14"/>
    </row>
    <row r="30" spans="1:5" x14ac:dyDescent="0.3">
      <c r="A30" s="14"/>
      <c r="B30" s="14"/>
    </row>
    <row r="31" spans="1:5" x14ac:dyDescent="0.3">
      <c r="A31" s="14"/>
      <c r="B31" s="14"/>
    </row>
    <row r="32" spans="1:5" x14ac:dyDescent="0.3">
      <c r="A32" s="14"/>
      <c r="B32" s="14"/>
    </row>
    <row r="33" spans="1:2" x14ac:dyDescent="0.3">
      <c r="A33" s="14"/>
      <c r="B33" s="14"/>
    </row>
    <row r="34" spans="1:2" x14ac:dyDescent="0.3">
      <c r="A34" s="14"/>
      <c r="B34" s="14"/>
    </row>
    <row r="35" spans="1:2" x14ac:dyDescent="0.3">
      <c r="A35" s="14"/>
      <c r="B35" s="14"/>
    </row>
    <row r="36" spans="1:2" x14ac:dyDescent="0.3">
      <c r="A36" s="14"/>
      <c r="B36" s="14"/>
    </row>
    <row r="37" spans="1:2" x14ac:dyDescent="0.3">
      <c r="A37" s="14"/>
      <c r="B37" s="14"/>
    </row>
    <row r="38" spans="1:2" x14ac:dyDescent="0.3">
      <c r="A38" s="14"/>
      <c r="B38" s="14"/>
    </row>
    <row r="39" spans="1:2" x14ac:dyDescent="0.3">
      <c r="A39" s="14"/>
      <c r="B39" s="14"/>
    </row>
    <row r="40" spans="1:2" x14ac:dyDescent="0.3">
      <c r="A40" s="14"/>
      <c r="B40" s="14"/>
    </row>
    <row r="41" spans="1:2" x14ac:dyDescent="0.3">
      <c r="A41" s="14"/>
      <c r="B41" s="14"/>
    </row>
    <row r="42" spans="1:2" x14ac:dyDescent="0.3">
      <c r="A42" s="14"/>
      <c r="B42" s="14"/>
    </row>
    <row r="43" spans="1:2" x14ac:dyDescent="0.3">
      <c r="A43" s="14"/>
      <c r="B43" s="14"/>
    </row>
    <row r="44" spans="1:2" x14ac:dyDescent="0.3">
      <c r="A44" s="14"/>
      <c r="B44" s="14"/>
    </row>
    <row r="45" spans="1:2" x14ac:dyDescent="0.3">
      <c r="A45" s="14"/>
      <c r="B45" s="14"/>
    </row>
    <row r="46" spans="1:2" x14ac:dyDescent="0.3">
      <c r="A46" s="14"/>
      <c r="B46" s="14"/>
    </row>
    <row r="47" spans="1:2" x14ac:dyDescent="0.3">
      <c r="A47" s="14"/>
      <c r="B47" s="14"/>
    </row>
    <row r="48" spans="1:2" x14ac:dyDescent="0.3">
      <c r="A48" s="14"/>
      <c r="B48" s="14"/>
    </row>
    <row r="49" spans="1:2" x14ac:dyDescent="0.3">
      <c r="A49" s="14"/>
      <c r="B49" s="14"/>
    </row>
    <row r="50" spans="1:2" x14ac:dyDescent="0.3">
      <c r="A50" s="14"/>
      <c r="B50" s="14"/>
    </row>
    <row r="51" spans="1:2" x14ac:dyDescent="0.3">
      <c r="A51" s="14"/>
      <c r="B51" s="14"/>
    </row>
    <row r="52" spans="1:2" x14ac:dyDescent="0.3">
      <c r="A52" s="14"/>
      <c r="B52" s="14"/>
    </row>
    <row r="53" spans="1:2" x14ac:dyDescent="0.3">
      <c r="A53" s="14"/>
      <c r="B53" s="14"/>
    </row>
    <row r="54" spans="1:2" x14ac:dyDescent="0.3">
      <c r="A54" s="14"/>
      <c r="B54" s="14"/>
    </row>
    <row r="55" spans="1:2" x14ac:dyDescent="0.3">
      <c r="A55" s="14"/>
      <c r="B55" s="14"/>
    </row>
    <row r="56" spans="1:2" x14ac:dyDescent="0.3">
      <c r="A56" s="14"/>
      <c r="B56" s="14"/>
    </row>
    <row r="57" spans="1:2" x14ac:dyDescent="0.3">
      <c r="A57" s="14"/>
      <c r="B57" s="14"/>
    </row>
    <row r="58" spans="1:2" x14ac:dyDescent="0.3">
      <c r="A58" s="14"/>
      <c r="B58" s="14"/>
    </row>
    <row r="59" spans="1:2" x14ac:dyDescent="0.3">
      <c r="A59" s="14"/>
      <c r="B59" s="14"/>
    </row>
    <row r="60" spans="1:2" x14ac:dyDescent="0.3">
      <c r="A60" s="14"/>
      <c r="B60" s="14"/>
    </row>
    <row r="61" spans="1:2" x14ac:dyDescent="0.3">
      <c r="A61" s="14"/>
      <c r="B61" s="14"/>
    </row>
    <row r="62" spans="1:2" x14ac:dyDescent="0.3">
      <c r="A62" s="14"/>
      <c r="B62" s="14"/>
    </row>
    <row r="63" spans="1:2" x14ac:dyDescent="0.3">
      <c r="A63" s="14"/>
      <c r="B63" s="14"/>
    </row>
    <row r="64" spans="1:2" x14ac:dyDescent="0.3">
      <c r="A64" s="14"/>
      <c r="B64" s="14"/>
    </row>
    <row r="65" spans="1:2" x14ac:dyDescent="0.3">
      <c r="A65" s="14"/>
      <c r="B65" s="14"/>
    </row>
    <row r="66" spans="1:2" x14ac:dyDescent="0.3">
      <c r="A66" s="14"/>
      <c r="B66" s="14"/>
    </row>
    <row r="67" spans="1:2" x14ac:dyDescent="0.3">
      <c r="A67" s="14"/>
      <c r="B67" s="14"/>
    </row>
    <row r="68" spans="1:2" x14ac:dyDescent="0.3">
      <c r="A68" s="14"/>
      <c r="B68" s="14"/>
    </row>
    <row r="69" spans="1:2" x14ac:dyDescent="0.3">
      <c r="A69" s="14"/>
      <c r="B69" s="14"/>
    </row>
    <row r="70" spans="1:2" x14ac:dyDescent="0.3">
      <c r="A70" s="14"/>
      <c r="B70" s="14"/>
    </row>
    <row r="71" spans="1:2" x14ac:dyDescent="0.3">
      <c r="A71" s="14"/>
      <c r="B71" s="14"/>
    </row>
    <row r="72" spans="1:2" x14ac:dyDescent="0.3">
      <c r="A72" s="14"/>
      <c r="B72" s="14"/>
    </row>
    <row r="73" spans="1:2" x14ac:dyDescent="0.3">
      <c r="A73" s="14"/>
      <c r="B73" s="14"/>
    </row>
    <row r="74" spans="1:2" x14ac:dyDescent="0.3">
      <c r="A74" s="14"/>
      <c r="B74" s="14"/>
    </row>
    <row r="75" spans="1:2" x14ac:dyDescent="0.3">
      <c r="A75" s="14"/>
      <c r="B75" s="14"/>
    </row>
    <row r="76" spans="1:2" x14ac:dyDescent="0.3">
      <c r="A76" s="14"/>
      <c r="B76" s="14"/>
    </row>
    <row r="77" spans="1:2" x14ac:dyDescent="0.3">
      <c r="A77" s="14"/>
      <c r="B77" s="14"/>
    </row>
    <row r="78" spans="1:2" x14ac:dyDescent="0.3">
      <c r="A78" s="14"/>
      <c r="B78" s="14"/>
    </row>
    <row r="79" spans="1:2" x14ac:dyDescent="0.3">
      <c r="A79" s="14"/>
      <c r="B79" s="14"/>
    </row>
    <row r="80" spans="1:2" x14ac:dyDescent="0.3">
      <c r="A80" s="14"/>
      <c r="B80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26" customWidth="1"/>
    <col min="3" max="3" width="32" customWidth="1"/>
    <col min="4" max="4" width="9" customWidth="1"/>
    <col min="5" max="5" width="16" customWidth="1"/>
    <col min="6" max="6" width="14" customWidth="1"/>
    <col min="7" max="7" width="10" customWidth="1"/>
    <col min="8" max="8" width="14" customWidth="1"/>
    <col min="9" max="9" width="16" customWidth="1"/>
    <col min="10" max="10" width="14" customWidth="1"/>
  </cols>
  <sheetData>
    <row r="1" spans="1:10" ht="17.399999999999999" x14ac:dyDescent="0.3">
      <c r="A1" s="5" t="s">
        <v>234</v>
      </c>
    </row>
    <row r="2" spans="1:10" x14ac:dyDescent="0.3">
      <c r="A2" s="6" t="s">
        <v>235</v>
      </c>
    </row>
    <row r="4" spans="1:10" ht="39.6" x14ac:dyDescent="0.3">
      <c r="A4" s="7" t="s">
        <v>20</v>
      </c>
      <c r="B4" s="7" t="s">
        <v>21</v>
      </c>
      <c r="C4" s="7" t="s">
        <v>22</v>
      </c>
      <c r="D4" s="7" t="s">
        <v>23</v>
      </c>
      <c r="E4" s="7" t="s">
        <v>26</v>
      </c>
      <c r="F4" s="7" t="s">
        <v>236</v>
      </c>
      <c r="G4" s="7" t="s">
        <v>237</v>
      </c>
      <c r="H4" s="7" t="s">
        <v>238</v>
      </c>
      <c r="I4" s="7" t="s">
        <v>239</v>
      </c>
      <c r="J4" s="7" t="s">
        <v>240</v>
      </c>
    </row>
    <row r="5" spans="1:10" x14ac:dyDescent="0.3">
      <c r="A5" s="17">
        <f>'Top20'!A5</f>
        <v>1</v>
      </c>
      <c r="B5" s="17" t="str">
        <f>'Top20'!B5</f>
        <v>Greenko Group</v>
      </c>
      <c r="C5" s="17" t="str">
        <f>'Top20'!C5</f>
        <v>Renewable power and storage</v>
      </c>
      <c r="D5" s="17">
        <f>'Top20'!D5</f>
        <v>2009</v>
      </c>
      <c r="E5" s="18">
        <f>'Top20'!G5</f>
        <v>6700</v>
      </c>
      <c r="F5" s="8">
        <f>COUNTIFS(WIPO_Raw!$L$5:$L$2004,B5,WIPO_Raw!$M$5:$M$2004,"&lt;&gt;False positive")</f>
        <v>0</v>
      </c>
      <c r="G5" s="8">
        <f>COUNTIFS(WIPO_Raw!$L$5:$L$2004,B5,WIPO_Raw!$M$5:$M$2004,"&lt;&gt;False positive",WIPO_Raw!$K$5:$K$2004,"Granted")</f>
        <v>0</v>
      </c>
      <c r="H5" s="8">
        <f t="shared" ref="H5:H24" si="0">F5-G5</f>
        <v>0</v>
      </c>
      <c r="I5" s="19">
        <f t="shared" ref="I5:I24" si="1">IFERROR(F5/(E5/100),0)</f>
        <v>0</v>
      </c>
      <c r="J5" s="8">
        <f>COUNTIFS(WIPO_Raw!$L$5:$L$2004,B5,WIPO_Raw!$M$5:$M$2004,"")</f>
        <v>0</v>
      </c>
    </row>
    <row r="6" spans="1:10" ht="26.4" x14ac:dyDescent="0.3">
      <c r="A6" s="17">
        <f>'Top20'!A6</f>
        <v>2</v>
      </c>
      <c r="B6" s="17" t="str">
        <f>'Top20'!B6</f>
        <v>Avaada Group</v>
      </c>
      <c r="C6" s="17" t="str">
        <f>'Top20'!C6</f>
        <v>Renewable power, green hydrogen, solar manufacturing</v>
      </c>
      <c r="D6" s="17">
        <f>'Top20'!D6</f>
        <v>2017</v>
      </c>
      <c r="E6" s="18">
        <f>'Top20'!G6</f>
        <v>3700</v>
      </c>
      <c r="F6" s="8">
        <f>COUNTIFS(WIPO_Raw!$L$5:$L$2004,B6,WIPO_Raw!$M$5:$M$2004,"&lt;&gt;False positive")</f>
        <v>0</v>
      </c>
      <c r="G6" s="8">
        <f>COUNTIFS(WIPO_Raw!$L$5:$L$2004,B6,WIPO_Raw!$M$5:$M$2004,"&lt;&gt;False positive",WIPO_Raw!$K$5:$K$2004,"Granted")</f>
        <v>0</v>
      </c>
      <c r="H6" s="8">
        <f t="shared" si="0"/>
        <v>0</v>
      </c>
      <c r="I6" s="19">
        <f t="shared" si="1"/>
        <v>0</v>
      </c>
      <c r="J6" s="8">
        <f>COUNTIFS(WIPO_Raw!$L$5:$L$2004,B6,WIPO_Raw!$M$5:$M$2004,"")</f>
        <v>0</v>
      </c>
    </row>
    <row r="7" spans="1:10" x14ac:dyDescent="0.3">
      <c r="A7" s="17">
        <f>'Top20'!A7</f>
        <v>3</v>
      </c>
      <c r="B7" s="17" t="str">
        <f>'Top20'!B7</f>
        <v>EV Co</v>
      </c>
      <c r="C7" s="17" t="str">
        <f>'Top20'!C7</f>
        <v>Electric vehicles (entity unclear)</v>
      </c>
      <c r="D7" s="17">
        <f>'Top20'!D7</f>
        <v>2022</v>
      </c>
      <c r="E7" s="18">
        <f>'Top20'!G7</f>
        <v>463.86</v>
      </c>
      <c r="F7" s="8">
        <f>COUNTIFS(WIPO_Raw!$L$5:$L$2004,B7,WIPO_Raw!$M$5:$M$2004,"&lt;&gt;False positive")</f>
        <v>0</v>
      </c>
      <c r="G7" s="8">
        <f>COUNTIFS(WIPO_Raw!$L$5:$L$2004,B7,WIPO_Raw!$M$5:$M$2004,"&lt;&gt;False positive",WIPO_Raw!$K$5:$K$2004,"Granted")</f>
        <v>0</v>
      </c>
      <c r="H7" s="8">
        <f t="shared" si="0"/>
        <v>0</v>
      </c>
      <c r="I7" s="19">
        <f t="shared" si="1"/>
        <v>0</v>
      </c>
      <c r="J7" s="8">
        <f>COUNTIFS(WIPO_Raw!$L$5:$L$2004,B7,WIPO_Raw!$M$5:$M$2004,"")</f>
        <v>0</v>
      </c>
    </row>
    <row r="8" spans="1:10" x14ac:dyDescent="0.3">
      <c r="A8" s="17">
        <f>'Top20'!A8</f>
        <v>4</v>
      </c>
      <c r="B8" s="17" t="str">
        <f>'Top20'!B8</f>
        <v>Euler Motors</v>
      </c>
      <c r="C8" s="17" t="str">
        <f>'Top20'!C8</f>
        <v>Electric commercial three-wheelers</v>
      </c>
      <c r="D8" s="17">
        <f>'Top20'!D8</f>
        <v>2018</v>
      </c>
      <c r="E8" s="18">
        <f>'Top20'!G8</f>
        <v>376.94</v>
      </c>
      <c r="F8" s="8">
        <f>COUNTIFS(WIPO_Raw!$L$5:$L$2004,B8,WIPO_Raw!$M$5:$M$2004,"&lt;&gt;False positive")</f>
        <v>0</v>
      </c>
      <c r="G8" s="8">
        <f>COUNTIFS(WIPO_Raw!$L$5:$L$2004,B8,WIPO_Raw!$M$5:$M$2004,"&lt;&gt;False positive",WIPO_Raw!$K$5:$K$2004,"Granted")</f>
        <v>0</v>
      </c>
      <c r="H8" s="8">
        <f t="shared" si="0"/>
        <v>0</v>
      </c>
      <c r="I8" s="19">
        <f t="shared" si="1"/>
        <v>0</v>
      </c>
      <c r="J8" s="8">
        <f>COUNTIFS(WIPO_Raw!$L$5:$L$2004,B8,WIPO_Raw!$M$5:$M$2004,"")</f>
        <v>0</v>
      </c>
    </row>
    <row r="9" spans="1:10" x14ac:dyDescent="0.3">
      <c r="A9" s="17">
        <f>'Top20'!A9</f>
        <v>5</v>
      </c>
      <c r="B9" s="17" t="str">
        <f>'Top20'!B9</f>
        <v>Simple Energy</v>
      </c>
      <c r="C9" s="17" t="str">
        <f>'Top20'!C9</f>
        <v>Electric two-wheelers</v>
      </c>
      <c r="D9" s="17">
        <f>'Top20'!D9</f>
        <v>2019</v>
      </c>
      <c r="E9" s="18">
        <f>'Top20'!G9</f>
        <v>290.5</v>
      </c>
      <c r="F9" s="8">
        <f>COUNTIFS(WIPO_Raw!$L$5:$L$2004,B9,WIPO_Raw!$M$5:$M$2004,"&lt;&gt;False positive")</f>
        <v>0</v>
      </c>
      <c r="G9" s="8">
        <f>COUNTIFS(WIPO_Raw!$L$5:$L$2004,B9,WIPO_Raw!$M$5:$M$2004,"&lt;&gt;False positive",WIPO_Raw!$K$5:$K$2004,"Granted")</f>
        <v>0</v>
      </c>
      <c r="H9" s="8">
        <f t="shared" si="0"/>
        <v>0</v>
      </c>
      <c r="I9" s="19">
        <f t="shared" si="1"/>
        <v>0</v>
      </c>
      <c r="J9" s="8">
        <f>COUNTIFS(WIPO_Raw!$L$5:$L$2004,B9,WIPO_Raw!$M$5:$M$2004,"")</f>
        <v>0</v>
      </c>
    </row>
    <row r="10" spans="1:10" ht="26.4" x14ac:dyDescent="0.3">
      <c r="A10" s="17">
        <f>'Top20'!A10</f>
        <v>6</v>
      </c>
      <c r="B10" s="17" t="str">
        <f>'Top20'!B10</f>
        <v>Bounce</v>
      </c>
      <c r="C10" s="17" t="str">
        <f>'Top20'!C10</f>
        <v>Electric mobility and battery swapping</v>
      </c>
      <c r="D10" s="17">
        <f>'Top20'!D10</f>
        <v>2014</v>
      </c>
      <c r="E10" s="18">
        <f>'Top20'!G10</f>
        <v>238.06</v>
      </c>
      <c r="F10" s="8">
        <f>COUNTIFS(WIPO_Raw!$L$5:$L$2004,B10,WIPO_Raw!$M$5:$M$2004,"&lt;&gt;False positive")</f>
        <v>0</v>
      </c>
      <c r="G10" s="8">
        <f>COUNTIFS(WIPO_Raw!$L$5:$L$2004,B10,WIPO_Raw!$M$5:$M$2004,"&lt;&gt;False positive",WIPO_Raw!$K$5:$K$2004,"Granted")</f>
        <v>0</v>
      </c>
      <c r="H10" s="8">
        <f t="shared" si="0"/>
        <v>0</v>
      </c>
      <c r="I10" s="19">
        <f t="shared" si="1"/>
        <v>0</v>
      </c>
      <c r="J10" s="8">
        <f>COUNTIFS(WIPO_Raw!$L$5:$L$2004,B10,WIPO_Raw!$M$5:$M$2004,"")</f>
        <v>0</v>
      </c>
    </row>
    <row r="11" spans="1:10" x14ac:dyDescent="0.3">
      <c r="A11" s="17">
        <f>'Top20'!A11</f>
        <v>7</v>
      </c>
      <c r="B11" s="17" t="str">
        <f>'Top20'!B11</f>
        <v>Battery Smart</v>
      </c>
      <c r="C11" s="17" t="str">
        <f>'Top20'!C11</f>
        <v>Battery swapping</v>
      </c>
      <c r="D11" s="17">
        <f>'Top20'!D11</f>
        <v>2019</v>
      </c>
      <c r="E11" s="18">
        <f>'Top20'!G11</f>
        <v>228.09</v>
      </c>
      <c r="F11" s="8">
        <f>COUNTIFS(WIPO_Raw!$L$5:$L$2004,B11,WIPO_Raw!$M$5:$M$2004,"&lt;&gt;False positive")</f>
        <v>0</v>
      </c>
      <c r="G11" s="8">
        <f>COUNTIFS(WIPO_Raw!$L$5:$L$2004,B11,WIPO_Raw!$M$5:$M$2004,"&lt;&gt;False positive",WIPO_Raw!$K$5:$K$2004,"Granted")</f>
        <v>0</v>
      </c>
      <c r="H11" s="8">
        <f t="shared" si="0"/>
        <v>0</v>
      </c>
      <c r="I11" s="19">
        <f t="shared" si="1"/>
        <v>0</v>
      </c>
      <c r="J11" s="8">
        <f>COUNTIFS(WIPO_Raw!$L$5:$L$2004,B11,WIPO_Raw!$M$5:$M$2004,"")</f>
        <v>0</v>
      </c>
    </row>
    <row r="12" spans="1:10" x14ac:dyDescent="0.3">
      <c r="A12" s="17">
        <f>'Top20'!A12</f>
        <v>8</v>
      </c>
      <c r="B12" s="17" t="str">
        <f>'Top20'!B12</f>
        <v>Ultraviolette Automotive</v>
      </c>
      <c r="C12" s="17" t="str">
        <f>'Top20'!C12</f>
        <v>Electric motorcycles</v>
      </c>
      <c r="D12" s="17">
        <f>'Top20'!D12</f>
        <v>2016</v>
      </c>
      <c r="E12" s="18">
        <f>'Top20'!G12</f>
        <v>220.9</v>
      </c>
      <c r="F12" s="8">
        <f>COUNTIFS(WIPO_Raw!$L$5:$L$2004,B12,WIPO_Raw!$M$5:$M$2004,"&lt;&gt;False positive")</f>
        <v>0</v>
      </c>
      <c r="G12" s="8">
        <f>COUNTIFS(WIPO_Raw!$L$5:$L$2004,B12,WIPO_Raw!$M$5:$M$2004,"&lt;&gt;False positive",WIPO_Raw!$K$5:$K$2004,"Granted")</f>
        <v>0</v>
      </c>
      <c r="H12" s="8">
        <f t="shared" si="0"/>
        <v>0</v>
      </c>
      <c r="I12" s="19">
        <f t="shared" si="1"/>
        <v>0</v>
      </c>
      <c r="J12" s="8">
        <f>COUNTIFS(WIPO_Raw!$L$5:$L$2004,B12,WIPO_Raw!$M$5:$M$2004,"")</f>
        <v>0</v>
      </c>
    </row>
    <row r="13" spans="1:10" x14ac:dyDescent="0.3">
      <c r="A13" s="17">
        <f>'Top20'!A13</f>
        <v>9</v>
      </c>
      <c r="B13" s="17" t="str">
        <f>'Top20'!B13</f>
        <v>Carbon Clean Solutions</v>
      </c>
      <c r="C13" s="17" t="str">
        <f>'Top20'!C13</f>
        <v>Carbon capture</v>
      </c>
      <c r="D13" s="17">
        <f>'Top20'!D13</f>
        <v>2009</v>
      </c>
      <c r="E13" s="18">
        <f>'Top20'!G13</f>
        <v>190.61</v>
      </c>
      <c r="F13" s="8">
        <f>COUNTIFS(WIPO_Raw!$L$5:$L$2004,B13,WIPO_Raw!$M$5:$M$2004,"&lt;&gt;False positive")</f>
        <v>0</v>
      </c>
      <c r="G13" s="8">
        <f>COUNTIFS(WIPO_Raw!$L$5:$L$2004,B13,WIPO_Raw!$M$5:$M$2004,"&lt;&gt;False positive",WIPO_Raw!$K$5:$K$2004,"Granted")</f>
        <v>0</v>
      </c>
      <c r="H13" s="8">
        <f t="shared" si="0"/>
        <v>0</v>
      </c>
      <c r="I13" s="19">
        <f t="shared" si="1"/>
        <v>0</v>
      </c>
      <c r="J13" s="8">
        <f>COUNTIFS(WIPO_Raw!$L$5:$L$2004,B13,WIPO_Raw!$M$5:$M$2004,"")</f>
        <v>0</v>
      </c>
    </row>
    <row r="14" spans="1:10" x14ac:dyDescent="0.3">
      <c r="A14" s="17">
        <f>'Top20'!A14</f>
        <v>10</v>
      </c>
      <c r="B14" s="17" t="str">
        <f>'Top20'!B14</f>
        <v>CleanMax</v>
      </c>
      <c r="C14" s="17" t="str">
        <f>'Top20'!C14</f>
        <v>Commercial and industrial solar</v>
      </c>
      <c r="D14" s="17">
        <f>'Top20'!D14</f>
        <v>2010</v>
      </c>
      <c r="E14" s="18">
        <f>'Top20'!G14</f>
        <v>188.2</v>
      </c>
      <c r="F14" s="8">
        <f>COUNTIFS(WIPO_Raw!$L$5:$L$2004,B14,WIPO_Raw!$M$5:$M$2004,"&lt;&gt;False positive")</f>
        <v>0</v>
      </c>
      <c r="G14" s="8">
        <f>COUNTIFS(WIPO_Raw!$L$5:$L$2004,B14,WIPO_Raw!$M$5:$M$2004,"&lt;&gt;False positive",WIPO_Raw!$K$5:$K$2004,"Granted")</f>
        <v>0</v>
      </c>
      <c r="H14" s="8">
        <f t="shared" si="0"/>
        <v>0</v>
      </c>
      <c r="I14" s="19">
        <f t="shared" si="1"/>
        <v>0</v>
      </c>
      <c r="J14" s="8">
        <f>COUNTIFS(WIPO_Raw!$L$5:$L$2004,B14,WIPO_Raw!$M$5:$M$2004,"")</f>
        <v>0</v>
      </c>
    </row>
    <row r="15" spans="1:10" x14ac:dyDescent="0.3">
      <c r="A15" s="17">
        <f>'Top20'!A15</f>
        <v>11</v>
      </c>
      <c r="B15" s="17" t="str">
        <f>'Top20'!B15</f>
        <v>River</v>
      </c>
      <c r="C15" s="17" t="str">
        <f>'Top20'!C15</f>
        <v>Electric scooters</v>
      </c>
      <c r="D15" s="17">
        <f>'Top20'!D15</f>
        <v>2020</v>
      </c>
      <c r="E15" s="18">
        <f>'Top20'!G15</f>
        <v>188</v>
      </c>
      <c r="F15" s="8">
        <f>COUNTIFS(WIPO_Raw!$L$5:$L$2004,B15,WIPO_Raw!$M$5:$M$2004,"&lt;&gt;False positive")</f>
        <v>0</v>
      </c>
      <c r="G15" s="8">
        <f>COUNTIFS(WIPO_Raw!$L$5:$L$2004,B15,WIPO_Raw!$M$5:$M$2004,"&lt;&gt;False positive",WIPO_Raw!$K$5:$K$2004,"Granted")</f>
        <v>0</v>
      </c>
      <c r="H15" s="8">
        <f t="shared" si="0"/>
        <v>0</v>
      </c>
      <c r="I15" s="19">
        <f t="shared" si="1"/>
        <v>0</v>
      </c>
      <c r="J15" s="8">
        <f>COUNTIFS(WIPO_Raw!$L$5:$L$2004,B15,WIPO_Raw!$M$5:$M$2004,"")</f>
        <v>0</v>
      </c>
    </row>
    <row r="16" spans="1:10" ht="26.4" x14ac:dyDescent="0.3">
      <c r="A16" s="17">
        <f>'Top20'!A16</f>
        <v>12</v>
      </c>
      <c r="B16" s="17" t="str">
        <f>'Top20'!B16</f>
        <v>SUN Mobility</v>
      </c>
      <c r="C16" s="17" t="str">
        <f>'Top20'!C16</f>
        <v>Battery swapping and energy infrastructure</v>
      </c>
      <c r="D16" s="17">
        <f>'Top20'!D16</f>
        <v>2017</v>
      </c>
      <c r="E16" s="18">
        <f>'Top20'!G16</f>
        <v>135</v>
      </c>
      <c r="F16" s="8">
        <f>COUNTIFS(WIPO_Raw!$L$5:$L$2004,B16,WIPO_Raw!$M$5:$M$2004,"&lt;&gt;False positive")</f>
        <v>0</v>
      </c>
      <c r="G16" s="8">
        <f>COUNTIFS(WIPO_Raw!$L$5:$L$2004,B16,WIPO_Raw!$M$5:$M$2004,"&lt;&gt;False positive",WIPO_Raw!$K$5:$K$2004,"Granted")</f>
        <v>0</v>
      </c>
      <c r="H16" s="8">
        <f t="shared" si="0"/>
        <v>0</v>
      </c>
      <c r="I16" s="19">
        <f t="shared" si="1"/>
        <v>0</v>
      </c>
      <c r="J16" s="8">
        <f>COUNTIFS(WIPO_Raw!$L$5:$L$2004,B16,WIPO_Raw!$M$5:$M$2004,"")</f>
        <v>0</v>
      </c>
    </row>
    <row r="17" spans="1:10" x14ac:dyDescent="0.3">
      <c r="A17" s="17">
        <f>'Top20'!A17</f>
        <v>13</v>
      </c>
      <c r="B17" s="17" t="str">
        <f>'Top20'!B17</f>
        <v>SolarSquare</v>
      </c>
      <c r="C17" s="17" t="str">
        <f>'Top20'!C17</f>
        <v>Rooftop solar</v>
      </c>
      <c r="D17" s="17">
        <f>'Top20'!D17</f>
        <v>2015</v>
      </c>
      <c r="E17" s="18">
        <f>'Top20'!G17</f>
        <v>113.25</v>
      </c>
      <c r="F17" s="8">
        <f>COUNTIFS(WIPO_Raw!$L$5:$L$2004,B17,WIPO_Raw!$M$5:$M$2004,"&lt;&gt;False positive")</f>
        <v>0</v>
      </c>
      <c r="G17" s="8">
        <f>COUNTIFS(WIPO_Raw!$L$5:$L$2004,B17,WIPO_Raw!$M$5:$M$2004,"&lt;&gt;False positive",WIPO_Raw!$K$5:$K$2004,"Granted")</f>
        <v>0</v>
      </c>
      <c r="H17" s="8">
        <f t="shared" si="0"/>
        <v>0</v>
      </c>
      <c r="I17" s="19">
        <f t="shared" si="1"/>
        <v>0</v>
      </c>
      <c r="J17" s="8">
        <f>COUNTIFS(WIPO_Raw!$L$5:$L$2004,B17,WIPO_Raw!$M$5:$M$2004,"")</f>
        <v>0</v>
      </c>
    </row>
    <row r="18" spans="1:10" x14ac:dyDescent="0.3">
      <c r="A18" s="17">
        <f>'Top20'!A18</f>
        <v>14</v>
      </c>
      <c r="B18" s="17" t="str">
        <f>'Top20'!B18</f>
        <v>Ecozen Solutions</v>
      </c>
      <c r="C18" s="17" t="str">
        <f>'Top20'!C18</f>
        <v>Solar cold chain and agri-energy</v>
      </c>
      <c r="D18" s="17">
        <f>'Top20'!D18</f>
        <v>2010</v>
      </c>
      <c r="E18" s="18">
        <f>'Top20'!G18</f>
        <v>107.4</v>
      </c>
      <c r="F18" s="8">
        <f>COUNTIFS(WIPO_Raw!$L$5:$L$2004,B18,WIPO_Raw!$M$5:$M$2004,"&lt;&gt;False positive")</f>
        <v>0</v>
      </c>
      <c r="G18" s="8">
        <f>COUNTIFS(WIPO_Raw!$L$5:$L$2004,B18,WIPO_Raw!$M$5:$M$2004,"&lt;&gt;False positive",WIPO_Raw!$K$5:$K$2004,"Granted")</f>
        <v>0</v>
      </c>
      <c r="H18" s="8">
        <f t="shared" si="0"/>
        <v>0</v>
      </c>
      <c r="I18" s="19">
        <f t="shared" si="1"/>
        <v>0</v>
      </c>
      <c r="J18" s="8">
        <f>COUNTIFS(WIPO_Raw!$L$5:$L$2004,B18,WIPO_Raw!$M$5:$M$2004,"")</f>
        <v>0</v>
      </c>
    </row>
    <row r="19" spans="1:10" x14ac:dyDescent="0.3">
      <c r="A19" s="17">
        <f>'Top20'!A19</f>
        <v>15</v>
      </c>
      <c r="B19" s="17" t="str">
        <f>'Top20'!B19</f>
        <v>EKA Mobility</v>
      </c>
      <c r="C19" s="17" t="str">
        <f>'Top20'!C19</f>
        <v>Electric buses and commercial EVs</v>
      </c>
      <c r="D19" s="17">
        <f>'Top20'!D19</f>
        <v>2022</v>
      </c>
      <c r="E19" s="18">
        <f>'Top20'!G19</f>
        <v>103.94</v>
      </c>
      <c r="F19" s="8">
        <f>COUNTIFS(WIPO_Raw!$L$5:$L$2004,B19,WIPO_Raw!$M$5:$M$2004,"&lt;&gt;False positive")</f>
        <v>0</v>
      </c>
      <c r="G19" s="8">
        <f>COUNTIFS(WIPO_Raw!$L$5:$L$2004,B19,WIPO_Raw!$M$5:$M$2004,"&lt;&gt;False positive",WIPO_Raw!$K$5:$K$2004,"Granted")</f>
        <v>0</v>
      </c>
      <c r="H19" s="8">
        <f t="shared" si="0"/>
        <v>0</v>
      </c>
      <c r="I19" s="19">
        <f t="shared" si="1"/>
        <v>0</v>
      </c>
      <c r="J19" s="8">
        <f>COUNTIFS(WIPO_Raw!$L$5:$L$2004,B19,WIPO_Raw!$M$5:$M$2004,"")</f>
        <v>0</v>
      </c>
    </row>
    <row r="20" spans="1:10" x14ac:dyDescent="0.3">
      <c r="A20" s="17">
        <f>'Top20'!A20</f>
        <v>16</v>
      </c>
      <c r="B20" s="17" t="str">
        <f>'Top20'!B20</f>
        <v>Bidgely</v>
      </c>
      <c r="C20" s="17" t="str">
        <f>'Top20'!C20</f>
        <v>Energy analytics software</v>
      </c>
      <c r="D20" s="17">
        <f>'Top20'!D20</f>
        <v>2011</v>
      </c>
      <c r="E20" s="18">
        <f>'Top20'!G20</f>
        <v>97.67</v>
      </c>
      <c r="F20" s="8">
        <f>COUNTIFS(WIPO_Raw!$L$5:$L$2004,B20,WIPO_Raw!$M$5:$M$2004,"&lt;&gt;False positive")</f>
        <v>0</v>
      </c>
      <c r="G20" s="8">
        <f>COUNTIFS(WIPO_Raw!$L$5:$L$2004,B20,WIPO_Raw!$M$5:$M$2004,"&lt;&gt;False positive",WIPO_Raw!$K$5:$K$2004,"Granted")</f>
        <v>0</v>
      </c>
      <c r="H20" s="8">
        <f t="shared" si="0"/>
        <v>0</v>
      </c>
      <c r="I20" s="19">
        <f t="shared" si="1"/>
        <v>0</v>
      </c>
      <c r="J20" s="8">
        <f>COUNTIFS(WIPO_Raw!$L$5:$L$2004,B20,WIPO_Raw!$M$5:$M$2004,"")</f>
        <v>0</v>
      </c>
    </row>
    <row r="21" spans="1:10" x14ac:dyDescent="0.3">
      <c r="A21" s="17">
        <f>'Top20'!A21</f>
        <v>17</v>
      </c>
      <c r="B21" s="17" t="str">
        <f>'Top20'!B21</f>
        <v>Matter</v>
      </c>
      <c r="C21" s="17" t="str">
        <f>'Top20'!C21</f>
        <v>Electric motorcycles and batteries</v>
      </c>
      <c r="D21" s="17">
        <f>'Top20'!D21</f>
        <v>2019</v>
      </c>
      <c r="E21" s="18">
        <f>'Top20'!G21</f>
        <v>88</v>
      </c>
      <c r="F21" s="8">
        <f>COUNTIFS(WIPO_Raw!$L$5:$L$2004,B21,WIPO_Raw!$M$5:$M$2004,"&lt;&gt;False positive")</f>
        <v>0</v>
      </c>
      <c r="G21" s="8">
        <f>COUNTIFS(WIPO_Raw!$L$5:$L$2004,B21,WIPO_Raw!$M$5:$M$2004,"&lt;&gt;False positive",WIPO_Raw!$K$5:$K$2004,"Granted")</f>
        <v>0</v>
      </c>
      <c r="H21" s="8">
        <f t="shared" si="0"/>
        <v>0</v>
      </c>
      <c r="I21" s="19">
        <f t="shared" si="1"/>
        <v>0</v>
      </c>
      <c r="J21" s="8">
        <f>COUNTIFS(WIPO_Raw!$L$5:$L$2004,B21,WIPO_Raw!$M$5:$M$2004,"")</f>
        <v>0</v>
      </c>
    </row>
    <row r="22" spans="1:10" x14ac:dyDescent="0.3">
      <c r="A22" s="17">
        <f>'Top20'!A22</f>
        <v>18</v>
      </c>
      <c r="B22" s="17" t="str">
        <f>'Top20'!B22</f>
        <v>ChargeZone</v>
      </c>
      <c r="C22" s="17" t="str">
        <f>'Top20'!C22</f>
        <v>EV charging</v>
      </c>
      <c r="D22" s="17">
        <f>'Top20'!D22</f>
        <v>2018</v>
      </c>
      <c r="E22" s="18">
        <f>'Top20'!G22</f>
        <v>86.11</v>
      </c>
      <c r="F22" s="8">
        <f>COUNTIFS(WIPO_Raw!$L$5:$L$2004,B22,WIPO_Raw!$M$5:$M$2004,"&lt;&gt;False positive")</f>
        <v>0</v>
      </c>
      <c r="G22" s="8">
        <f>COUNTIFS(WIPO_Raw!$L$5:$L$2004,B22,WIPO_Raw!$M$5:$M$2004,"&lt;&gt;False positive",WIPO_Raw!$K$5:$K$2004,"Granted")</f>
        <v>0</v>
      </c>
      <c r="H22" s="8">
        <f t="shared" si="0"/>
        <v>0</v>
      </c>
      <c r="I22" s="19">
        <f t="shared" si="1"/>
        <v>0</v>
      </c>
      <c r="J22" s="8">
        <f>COUNTIFS(WIPO_Raw!$L$5:$L$2004,B22,WIPO_Raw!$M$5:$M$2004,"")</f>
        <v>0</v>
      </c>
    </row>
    <row r="23" spans="1:10" x14ac:dyDescent="0.3">
      <c r="A23" s="17">
        <f>'Top20'!A23</f>
        <v>19</v>
      </c>
      <c r="B23" s="17" t="str">
        <f>'Top20'!B23</f>
        <v>Twenty Two Motors</v>
      </c>
      <c r="C23" s="17" t="str">
        <f>'Top20'!C23</f>
        <v>Electric two-wheelers</v>
      </c>
      <c r="D23" s="17">
        <f>'Top20'!D23</f>
        <v>2016</v>
      </c>
      <c r="E23" s="18">
        <f>'Top20'!G23</f>
        <v>66.599999999999994</v>
      </c>
      <c r="F23" s="8">
        <f>COUNTIFS(WIPO_Raw!$L$5:$L$2004,B23,WIPO_Raw!$M$5:$M$2004,"&lt;&gt;False positive")</f>
        <v>0</v>
      </c>
      <c r="G23" s="8">
        <f>COUNTIFS(WIPO_Raw!$L$5:$L$2004,B23,WIPO_Raw!$M$5:$M$2004,"&lt;&gt;False positive",WIPO_Raw!$K$5:$K$2004,"Granted")</f>
        <v>0</v>
      </c>
      <c r="H23" s="8">
        <f t="shared" si="0"/>
        <v>0</v>
      </c>
      <c r="I23" s="19">
        <f t="shared" si="1"/>
        <v>0</v>
      </c>
      <c r="J23" s="8">
        <f>COUNTIFS(WIPO_Raw!$L$5:$L$2004,B23,WIPO_Raw!$M$5:$M$2004,"")</f>
        <v>0</v>
      </c>
    </row>
    <row r="24" spans="1:10" x14ac:dyDescent="0.3">
      <c r="A24" s="17">
        <f>'Top20'!A24</f>
        <v>20</v>
      </c>
      <c r="B24" s="17" t="str">
        <f>'Top20'!B24</f>
        <v>Exponent Energy</v>
      </c>
      <c r="C24" s="17" t="str">
        <f>'Top20'!C24</f>
        <v>Fast-charging batteries and charging</v>
      </c>
      <c r="D24" s="17">
        <f>'Top20'!D24</f>
        <v>2020</v>
      </c>
      <c r="E24" s="18">
        <f>'Top20'!G24</f>
        <v>65.41</v>
      </c>
      <c r="F24" s="8">
        <f>COUNTIFS(WIPO_Raw!$L$5:$L$2004,B24,WIPO_Raw!$M$5:$M$2004,"&lt;&gt;False positive")</f>
        <v>0</v>
      </c>
      <c r="G24" s="8">
        <f>COUNTIFS(WIPO_Raw!$L$5:$L$2004,B24,WIPO_Raw!$M$5:$M$2004,"&lt;&gt;False positive",WIPO_Raw!$K$5:$K$2004,"Granted")</f>
        <v>0</v>
      </c>
      <c r="H24" s="8">
        <f t="shared" si="0"/>
        <v>0</v>
      </c>
      <c r="I24" s="19">
        <f t="shared" si="1"/>
        <v>0</v>
      </c>
      <c r="J24" s="8">
        <f>COUNTIFS(WIPO_Raw!$L$5:$L$2004,B24,WIPO_Raw!$M$5:$M$2004,"")</f>
        <v>0</v>
      </c>
    </row>
    <row r="26" spans="1:10" x14ac:dyDescent="0.3">
      <c r="B26" s="10" t="s">
        <v>241</v>
      </c>
      <c r="F26" s="10">
        <f>SUM(F5:F24)</f>
        <v>0</v>
      </c>
      <c r="G26" s="10">
        <f>SUM(G5:G24)</f>
        <v>0</v>
      </c>
      <c r="H26" s="10">
        <f>SUM(H5:H24)</f>
        <v>0</v>
      </c>
      <c r="J26" s="10">
        <f>SUM(J5:J24)</f>
        <v>0</v>
      </c>
    </row>
    <row r="27" spans="1:10" x14ac:dyDescent="0.3">
      <c r="B27" s="10" t="s">
        <v>242</v>
      </c>
      <c r="F27" s="15">
        <f>COUNTIF(WIPO_Raw!$L$5:$L$2004,"UNMATCHED")</f>
        <v>0</v>
      </c>
    </row>
    <row r="28" spans="1:10" x14ac:dyDescent="0.3">
      <c r="B28" s="10" t="s">
        <v>243</v>
      </c>
      <c r="F28" s="15">
        <f>COUNTA(WIPO_Raw!$E$5:$E$2004)</f>
        <v>0</v>
      </c>
    </row>
    <row r="29" spans="1:10" x14ac:dyDescent="0.3">
      <c r="B29" s="10" t="s">
        <v>244</v>
      </c>
      <c r="F29" s="15">
        <f>F28-COUNTIF(WIPO_Raw!$L$5:$L$2004,"?*")</f>
        <v>0</v>
      </c>
    </row>
    <row r="31" spans="1:10" x14ac:dyDescent="0.3">
      <c r="B31" s="6" t="s">
        <v>245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tabSelected="1" zoomScaleNormal="100" workbookViewId="0"/>
  </sheetViews>
  <sheetFormatPr defaultColWidth="8.6640625" defaultRowHeight="14.4" x14ac:dyDescent="0.3"/>
  <cols>
    <col min="1" max="1" width="7" customWidth="1"/>
    <col min="2" max="2" width="52" customWidth="1"/>
    <col min="3" max="4" width="60" customWidth="1"/>
  </cols>
  <sheetData>
    <row r="1" spans="1:4" ht="17.399999999999999" x14ac:dyDescent="0.3">
      <c r="A1" s="5" t="s">
        <v>246</v>
      </c>
    </row>
    <row r="3" spans="1:4" x14ac:dyDescent="0.3">
      <c r="A3" s="7" t="s">
        <v>247</v>
      </c>
      <c r="B3" s="7" t="s">
        <v>159</v>
      </c>
      <c r="C3" s="7" t="s">
        <v>248</v>
      </c>
      <c r="D3" s="7" t="s">
        <v>249</v>
      </c>
    </row>
    <row r="4" spans="1:4" ht="26.4" x14ac:dyDescent="0.3">
      <c r="A4" s="8" t="s">
        <v>56</v>
      </c>
      <c r="B4" s="8" t="s">
        <v>250</v>
      </c>
      <c r="C4" s="8" t="s">
        <v>251</v>
      </c>
      <c r="D4" s="8" t="s">
        <v>252</v>
      </c>
    </row>
    <row r="5" spans="1:4" ht="26.4" x14ac:dyDescent="0.3">
      <c r="A5" s="8" t="s">
        <v>40</v>
      </c>
      <c r="B5" s="8" t="s">
        <v>253</v>
      </c>
      <c r="C5" s="8" t="s">
        <v>254</v>
      </c>
      <c r="D5" s="8" t="s">
        <v>255</v>
      </c>
    </row>
    <row r="6" spans="1:4" x14ac:dyDescent="0.3">
      <c r="A6" s="8" t="s">
        <v>48</v>
      </c>
      <c r="B6" s="8" t="s">
        <v>256</v>
      </c>
      <c r="C6" s="8" t="s">
        <v>257</v>
      </c>
      <c r="D6" s="8" t="s">
        <v>258</v>
      </c>
    </row>
    <row r="7" spans="1:4" x14ac:dyDescent="0.3">
      <c r="A7" s="8" t="s">
        <v>98</v>
      </c>
      <c r="B7" s="8" t="s">
        <v>259</v>
      </c>
      <c r="C7" s="8" t="s">
        <v>254</v>
      </c>
      <c r="D7" s="8" t="s">
        <v>260</v>
      </c>
    </row>
    <row r="8" spans="1:4" ht="26.4" x14ac:dyDescent="0.3">
      <c r="A8" s="8" t="s">
        <v>181</v>
      </c>
      <c r="B8" s="8" t="s">
        <v>261</v>
      </c>
      <c r="C8" s="8" t="s">
        <v>262</v>
      </c>
      <c r="D8" s="8" t="s">
        <v>263</v>
      </c>
    </row>
    <row r="9" spans="1:4" x14ac:dyDescent="0.3">
      <c r="A9" s="8" t="s">
        <v>264</v>
      </c>
      <c r="B9" s="8" t="s">
        <v>265</v>
      </c>
      <c r="C9" s="8" t="s">
        <v>266</v>
      </c>
      <c r="D9" s="8" t="s">
        <v>267</v>
      </c>
    </row>
    <row r="10" spans="1:4" ht="26.4" x14ac:dyDescent="0.3">
      <c r="A10" s="8" t="s">
        <v>184</v>
      </c>
      <c r="B10" s="8" t="s">
        <v>268</v>
      </c>
      <c r="C10" s="8" t="s">
        <v>269</v>
      </c>
      <c r="D10" s="8" t="s">
        <v>270</v>
      </c>
    </row>
    <row r="11" spans="1:4" ht="26.4" x14ac:dyDescent="0.3">
      <c r="A11" s="8" t="s">
        <v>271</v>
      </c>
      <c r="B11" s="8" t="s">
        <v>272</v>
      </c>
      <c r="C11" s="8" t="s">
        <v>273</v>
      </c>
      <c r="D11" s="8" t="s">
        <v>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4"/>
  <sheetViews>
    <sheetView zoomScaleNormal="100" workbookViewId="0">
      <pane ySplit="4" topLeftCell="A5" activePane="bottomLeft" state="frozen"/>
      <selection pane="bottomLeft" activeCell="A2" sqref="A2:XFD2"/>
    </sheetView>
  </sheetViews>
  <sheetFormatPr defaultColWidth="8.6640625" defaultRowHeight="14.4" x14ac:dyDescent="0.3"/>
  <cols>
    <col min="1" max="1" width="18" customWidth="1"/>
    <col min="2" max="2" width="14" customWidth="1"/>
    <col min="3" max="3" width="18" customWidth="1"/>
    <col min="4" max="4" width="14" customWidth="1"/>
    <col min="5" max="5" width="34" customWidth="1"/>
    <col min="6" max="6" width="30" customWidth="1"/>
    <col min="7" max="7" width="44" customWidth="1"/>
    <col min="8" max="8" width="16" customWidth="1"/>
    <col min="9" max="9" width="12" customWidth="1"/>
    <col min="10" max="10" width="10" customWidth="1"/>
    <col min="11" max="11" width="18" customWidth="1"/>
    <col min="12" max="12" width="26" customWidth="1"/>
    <col min="13" max="13" width="22" customWidth="1"/>
    <col min="14" max="14" width="30" customWidth="1"/>
  </cols>
  <sheetData>
    <row r="1" spans="1:14" ht="17.399999999999999" x14ac:dyDescent="0.3">
      <c r="A1" s="5" t="s">
        <v>218</v>
      </c>
    </row>
    <row r="2" spans="1:14" x14ac:dyDescent="0.3">
      <c r="A2" s="6" t="s">
        <v>219</v>
      </c>
    </row>
    <row r="4" spans="1:14" ht="26.4" x14ac:dyDescent="0.3">
      <c r="A4" s="7" t="s">
        <v>220</v>
      </c>
      <c r="B4" s="7" t="s">
        <v>221</v>
      </c>
      <c r="C4" s="7" t="s">
        <v>222</v>
      </c>
      <c r="D4" s="7" t="s">
        <v>223</v>
      </c>
      <c r="E4" s="7" t="s">
        <v>224</v>
      </c>
      <c r="F4" s="7" t="s">
        <v>225</v>
      </c>
      <c r="G4" s="7" t="s">
        <v>226</v>
      </c>
      <c r="H4" s="7" t="s">
        <v>227</v>
      </c>
      <c r="I4" s="7" t="s">
        <v>228</v>
      </c>
      <c r="J4" s="7" t="s">
        <v>229</v>
      </c>
      <c r="K4" s="7" t="s">
        <v>230</v>
      </c>
      <c r="L4" s="7" t="s">
        <v>231</v>
      </c>
      <c r="M4" s="7" t="s">
        <v>232</v>
      </c>
      <c r="N4" s="7" t="s">
        <v>233</v>
      </c>
    </row>
    <row r="5" spans="1:14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6"/>
      <c r="L5" s="15" t="str">
        <f>IF(E5="","",IFERROR(INDEX(Aliases!$B$5:$B$80,MATCH(1,INDEX(ISNUMBER(SEARCH(Aliases!$A$5:$A$80,E5))*(Aliases!$A$5:$A$80&lt;&gt;""),0),0)),"UNMATCHED"))</f>
        <v/>
      </c>
      <c r="M5" s="16"/>
      <c r="N5" s="16"/>
    </row>
    <row r="6" spans="1:14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6"/>
      <c r="L6" s="15" t="str">
        <f>IF(E6="","",IFERROR(INDEX(Aliases!$B$5:$B$80,MATCH(1,INDEX(ISNUMBER(SEARCH(Aliases!$A$5:$A$80,E6))*(Aliases!$A$5:$A$80&lt;&gt;""),0),0)),"UNMATCHED"))</f>
        <v/>
      </c>
      <c r="M6" s="16"/>
      <c r="N6" s="16"/>
    </row>
    <row r="7" spans="1:14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6"/>
      <c r="L7" s="15" t="str">
        <f>IF(E7="","",IFERROR(INDEX(Aliases!$B$5:$B$80,MATCH(1,INDEX(ISNUMBER(SEARCH(Aliases!$A$5:$A$80,E7))*(Aliases!$A$5:$A$80&lt;&gt;""),0),0)),"UNMATCHED"))</f>
        <v/>
      </c>
      <c r="M7" s="16"/>
      <c r="N7" s="16"/>
    </row>
    <row r="8" spans="1:14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6"/>
      <c r="L8" s="15" t="str">
        <f>IF(E8="","",IFERROR(INDEX(Aliases!$B$5:$B$80,MATCH(1,INDEX(ISNUMBER(SEARCH(Aliases!$A$5:$A$80,E8))*(Aliases!$A$5:$A$80&lt;&gt;""),0),0)),"UNMATCHED"))</f>
        <v/>
      </c>
      <c r="M8" s="16"/>
      <c r="N8" s="16"/>
    </row>
    <row r="9" spans="1:14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6"/>
      <c r="L9" s="15" t="str">
        <f>IF(E9="","",IFERROR(INDEX(Aliases!$B$5:$B$80,MATCH(1,INDEX(ISNUMBER(SEARCH(Aliases!$A$5:$A$80,E9))*(Aliases!$A$5:$A$80&lt;&gt;""),0),0)),"UNMATCHED"))</f>
        <v/>
      </c>
      <c r="M9" s="16"/>
      <c r="N9" s="16"/>
    </row>
    <row r="10" spans="1:14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15" t="str">
        <f>IF(E10="","",IFERROR(INDEX(Aliases!$B$5:$B$80,MATCH(1,INDEX(ISNUMBER(SEARCH(Aliases!$A$5:$A$80,E10))*(Aliases!$A$5:$A$80&lt;&gt;""),0),0)),"UNMATCHED"))</f>
        <v/>
      </c>
      <c r="M10" s="16"/>
      <c r="N10" s="16"/>
    </row>
    <row r="11" spans="1:14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6"/>
      <c r="L11" s="15" t="str">
        <f>IF(E11="","",IFERROR(INDEX(Aliases!$B$5:$B$80,MATCH(1,INDEX(ISNUMBER(SEARCH(Aliases!$A$5:$A$80,E11))*(Aliases!$A$5:$A$80&lt;&gt;""),0),0)),"UNMATCHED"))</f>
        <v/>
      </c>
      <c r="M11" s="16"/>
      <c r="N11" s="16"/>
    </row>
    <row r="12" spans="1:14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6"/>
      <c r="L12" s="15" t="str">
        <f>IF(E12="","",IFERROR(INDEX(Aliases!$B$5:$B$80,MATCH(1,INDEX(ISNUMBER(SEARCH(Aliases!$A$5:$A$80,E12))*(Aliases!$A$5:$A$80&lt;&gt;""),0),0)),"UNMATCHED"))</f>
        <v/>
      </c>
      <c r="M12" s="16"/>
      <c r="N12" s="16"/>
    </row>
    <row r="13" spans="1:14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5" t="str">
        <f>IF(E13="","",IFERROR(INDEX(Aliases!$B$5:$B$80,MATCH(1,INDEX(ISNUMBER(SEARCH(Aliases!$A$5:$A$80,E13))*(Aliases!$A$5:$A$80&lt;&gt;""),0),0)),"UNMATCHED"))</f>
        <v/>
      </c>
      <c r="M13" s="16"/>
      <c r="N13" s="16"/>
    </row>
    <row r="14" spans="1:14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6"/>
      <c r="L14" s="15" t="str">
        <f>IF(E14="","",IFERROR(INDEX(Aliases!$B$5:$B$80,MATCH(1,INDEX(ISNUMBER(SEARCH(Aliases!$A$5:$A$80,E14))*(Aliases!$A$5:$A$80&lt;&gt;""),0),0)),"UNMATCHED"))</f>
        <v/>
      </c>
      <c r="M14" s="16"/>
      <c r="N14" s="16"/>
    </row>
    <row r="15" spans="1:14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15" t="str">
        <f>IF(E15="","",IFERROR(INDEX(Aliases!$B$5:$B$80,MATCH(1,INDEX(ISNUMBER(SEARCH(Aliases!$A$5:$A$80,E15))*(Aliases!$A$5:$A$80&lt;&gt;""),0),0)),"UNMATCHED"))</f>
        <v/>
      </c>
      <c r="M15" s="16"/>
      <c r="N15" s="16"/>
    </row>
    <row r="16" spans="1:14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5" t="str">
        <f>IF(E16="","",IFERROR(INDEX(Aliases!$B$5:$B$80,MATCH(1,INDEX(ISNUMBER(SEARCH(Aliases!$A$5:$A$80,E16))*(Aliases!$A$5:$A$80&lt;&gt;""),0),0)),"UNMATCHED"))</f>
        <v/>
      </c>
      <c r="M16" s="16"/>
      <c r="N16" s="16"/>
    </row>
    <row r="17" spans="1:14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15" t="str">
        <f>IF(E17="","",IFERROR(INDEX(Aliases!$B$5:$B$80,MATCH(1,INDEX(ISNUMBER(SEARCH(Aliases!$A$5:$A$80,E17))*(Aliases!$A$5:$A$80&lt;&gt;""),0),0)),"UNMATCHED"))</f>
        <v/>
      </c>
      <c r="M17" s="16"/>
      <c r="N17" s="16"/>
    </row>
    <row r="18" spans="1:1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15" t="str">
        <f>IF(E18="","",IFERROR(INDEX(Aliases!$B$5:$B$80,MATCH(1,INDEX(ISNUMBER(SEARCH(Aliases!$A$5:$A$80,E18))*(Aliases!$A$5:$A$80&lt;&gt;""),0),0)),"UNMATCHED"))</f>
        <v/>
      </c>
      <c r="M18" s="16"/>
      <c r="N18" s="16"/>
    </row>
    <row r="19" spans="1:1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15" t="str">
        <f>IF(E19="","",IFERROR(INDEX(Aliases!$B$5:$B$80,MATCH(1,INDEX(ISNUMBER(SEARCH(Aliases!$A$5:$A$80,E19))*(Aliases!$A$5:$A$80&lt;&gt;""),0),0)),"UNMATCHED"))</f>
        <v/>
      </c>
      <c r="M19" s="16"/>
      <c r="N19" s="16"/>
    </row>
    <row r="20" spans="1:14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15" t="str">
        <f>IF(E20="","",IFERROR(INDEX(Aliases!$B$5:$B$80,MATCH(1,INDEX(ISNUMBER(SEARCH(Aliases!$A$5:$A$80,E20))*(Aliases!$A$5:$A$80&lt;&gt;""),0),0)),"UNMATCHED"))</f>
        <v/>
      </c>
      <c r="M20" s="16"/>
      <c r="N20" s="16"/>
    </row>
    <row r="21" spans="1:14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5" t="str">
        <f>IF(E21="","",IFERROR(INDEX(Aliases!$B$5:$B$80,MATCH(1,INDEX(ISNUMBER(SEARCH(Aliases!$A$5:$A$80,E21))*(Aliases!$A$5:$A$80&lt;&gt;""),0),0)),"UNMATCHED"))</f>
        <v/>
      </c>
      <c r="M21" s="16"/>
      <c r="N21" s="16"/>
    </row>
    <row r="22" spans="1:14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5" t="str">
        <f>IF(E22="","",IFERROR(INDEX(Aliases!$B$5:$B$80,MATCH(1,INDEX(ISNUMBER(SEARCH(Aliases!$A$5:$A$80,E22))*(Aliases!$A$5:$A$80&lt;&gt;""),0),0)),"UNMATCHED"))</f>
        <v/>
      </c>
      <c r="M22" s="16"/>
      <c r="N22" s="16"/>
    </row>
    <row r="23" spans="1:14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5" t="str">
        <f>IF(E23="","",IFERROR(INDEX(Aliases!$B$5:$B$80,MATCH(1,INDEX(ISNUMBER(SEARCH(Aliases!$A$5:$A$80,E23))*(Aliases!$A$5:$A$80&lt;&gt;""),0),0)),"UNMATCHED"))</f>
        <v/>
      </c>
      <c r="M23" s="16"/>
      <c r="N23" s="16"/>
    </row>
    <row r="24" spans="1:14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5" t="str">
        <f>IF(E24="","",IFERROR(INDEX(Aliases!$B$5:$B$80,MATCH(1,INDEX(ISNUMBER(SEARCH(Aliases!$A$5:$A$80,E24))*(Aliases!$A$5:$A$80&lt;&gt;""),0),0)),"UNMATCHED"))</f>
        <v/>
      </c>
      <c r="M24" s="16"/>
      <c r="N24" s="16"/>
    </row>
    <row r="25" spans="1:14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15" t="str">
        <f>IF(E25="","",IFERROR(INDEX(Aliases!$B$5:$B$80,MATCH(1,INDEX(ISNUMBER(SEARCH(Aliases!$A$5:$A$80,E25))*(Aliases!$A$5:$A$80&lt;&gt;""),0),0)),"UNMATCHED"))</f>
        <v/>
      </c>
      <c r="M25" s="16"/>
      <c r="N25" s="16"/>
    </row>
    <row r="26" spans="1:14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6"/>
      <c r="L26" s="15" t="str">
        <f>IF(E26="","",IFERROR(INDEX(Aliases!$B$5:$B$80,MATCH(1,INDEX(ISNUMBER(SEARCH(Aliases!$A$5:$A$80,E26))*(Aliases!$A$5:$A$80&lt;&gt;""),0),0)),"UNMATCHED"))</f>
        <v/>
      </c>
      <c r="M26" s="16"/>
      <c r="N26" s="16"/>
    </row>
    <row r="27" spans="1:14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6"/>
      <c r="L27" s="15" t="str">
        <f>IF(E27="","",IFERROR(INDEX(Aliases!$B$5:$B$80,MATCH(1,INDEX(ISNUMBER(SEARCH(Aliases!$A$5:$A$80,E27))*(Aliases!$A$5:$A$80&lt;&gt;""),0),0)),"UNMATCHED"))</f>
        <v/>
      </c>
      <c r="M27" s="16"/>
      <c r="N27" s="16"/>
    </row>
    <row r="28" spans="1:14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6"/>
      <c r="L28" s="15" t="str">
        <f>IF(E28="","",IFERROR(INDEX(Aliases!$B$5:$B$80,MATCH(1,INDEX(ISNUMBER(SEARCH(Aliases!$A$5:$A$80,E28))*(Aliases!$A$5:$A$80&lt;&gt;""),0),0)),"UNMATCHED"))</f>
        <v/>
      </c>
      <c r="M28" s="16"/>
      <c r="N28" s="16"/>
    </row>
    <row r="29" spans="1:14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15" t="str">
        <f>IF(E29="","",IFERROR(INDEX(Aliases!$B$5:$B$80,MATCH(1,INDEX(ISNUMBER(SEARCH(Aliases!$A$5:$A$80,E29))*(Aliases!$A$5:$A$80&lt;&gt;""),0),0)),"UNMATCHED"))</f>
        <v/>
      </c>
      <c r="M29" s="16"/>
      <c r="N29" s="16"/>
    </row>
    <row r="30" spans="1:14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6"/>
      <c r="L30" s="15" t="str">
        <f>IF(E30="","",IFERROR(INDEX(Aliases!$B$5:$B$80,MATCH(1,INDEX(ISNUMBER(SEARCH(Aliases!$A$5:$A$80,E30))*(Aliases!$A$5:$A$80&lt;&gt;""),0),0)),"UNMATCHED"))</f>
        <v/>
      </c>
      <c r="M30" s="16"/>
      <c r="N30" s="16"/>
    </row>
    <row r="31" spans="1:14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6"/>
      <c r="L31" s="15" t="str">
        <f>IF(E31="","",IFERROR(INDEX(Aliases!$B$5:$B$80,MATCH(1,INDEX(ISNUMBER(SEARCH(Aliases!$A$5:$A$80,E31))*(Aliases!$A$5:$A$80&lt;&gt;""),0),0)),"UNMATCHED"))</f>
        <v/>
      </c>
      <c r="M31" s="16"/>
      <c r="N31" s="16"/>
    </row>
    <row r="32" spans="1:14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6"/>
      <c r="L32" s="15" t="str">
        <f>IF(E32="","",IFERROR(INDEX(Aliases!$B$5:$B$80,MATCH(1,INDEX(ISNUMBER(SEARCH(Aliases!$A$5:$A$80,E32))*(Aliases!$A$5:$A$80&lt;&gt;""),0),0)),"UNMATCHED"))</f>
        <v/>
      </c>
      <c r="M32" s="16"/>
      <c r="N32" s="16"/>
    </row>
    <row r="33" spans="1:14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15" t="str">
        <f>IF(E33="","",IFERROR(INDEX(Aliases!$B$5:$B$80,MATCH(1,INDEX(ISNUMBER(SEARCH(Aliases!$A$5:$A$80,E33))*(Aliases!$A$5:$A$80&lt;&gt;""),0),0)),"UNMATCHED"))</f>
        <v/>
      </c>
      <c r="M33" s="16"/>
      <c r="N33" s="16"/>
    </row>
    <row r="34" spans="1:14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6"/>
      <c r="L34" s="15" t="str">
        <f>IF(E34="","",IFERROR(INDEX(Aliases!$B$5:$B$80,MATCH(1,INDEX(ISNUMBER(SEARCH(Aliases!$A$5:$A$80,E34))*(Aliases!$A$5:$A$80&lt;&gt;""),0),0)),"UNMATCHED"))</f>
        <v/>
      </c>
      <c r="M34" s="16"/>
      <c r="N34" s="16"/>
    </row>
    <row r="35" spans="1:14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6"/>
      <c r="L35" s="15" t="str">
        <f>IF(E35="","",IFERROR(INDEX(Aliases!$B$5:$B$80,MATCH(1,INDEX(ISNUMBER(SEARCH(Aliases!$A$5:$A$80,E35))*(Aliases!$A$5:$A$80&lt;&gt;""),0),0)),"UNMATCHED"))</f>
        <v/>
      </c>
      <c r="M35" s="16"/>
      <c r="N35" s="16"/>
    </row>
    <row r="36" spans="1:14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6"/>
      <c r="L36" s="15" t="str">
        <f>IF(E36="","",IFERROR(INDEX(Aliases!$B$5:$B$80,MATCH(1,INDEX(ISNUMBER(SEARCH(Aliases!$A$5:$A$80,E36))*(Aliases!$A$5:$A$80&lt;&gt;""),0),0)),"UNMATCHED"))</f>
        <v/>
      </c>
      <c r="M36" s="16"/>
      <c r="N36" s="16"/>
    </row>
    <row r="37" spans="1:14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6"/>
      <c r="L37" s="15" t="str">
        <f>IF(E37="","",IFERROR(INDEX(Aliases!$B$5:$B$80,MATCH(1,INDEX(ISNUMBER(SEARCH(Aliases!$A$5:$A$80,E37))*(Aliases!$A$5:$A$80&lt;&gt;""),0),0)),"UNMATCHED"))</f>
        <v/>
      </c>
      <c r="M37" s="16"/>
      <c r="N37" s="16"/>
    </row>
    <row r="38" spans="1:14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6"/>
      <c r="L38" s="15" t="str">
        <f>IF(E38="","",IFERROR(INDEX(Aliases!$B$5:$B$80,MATCH(1,INDEX(ISNUMBER(SEARCH(Aliases!$A$5:$A$80,E38))*(Aliases!$A$5:$A$80&lt;&gt;""),0),0)),"UNMATCHED"))</f>
        <v/>
      </c>
      <c r="M38" s="16"/>
      <c r="N38" s="16"/>
    </row>
    <row r="39" spans="1:1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6"/>
      <c r="L39" s="15" t="str">
        <f>IF(E39="","",IFERROR(INDEX(Aliases!$B$5:$B$80,MATCH(1,INDEX(ISNUMBER(SEARCH(Aliases!$A$5:$A$80,E39))*(Aliases!$A$5:$A$80&lt;&gt;""),0),0)),"UNMATCHED"))</f>
        <v/>
      </c>
      <c r="M39" s="16"/>
      <c r="N39" s="16"/>
    </row>
    <row r="40" spans="1:14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6"/>
      <c r="L40" s="15" t="str">
        <f>IF(E40="","",IFERROR(INDEX(Aliases!$B$5:$B$80,MATCH(1,INDEX(ISNUMBER(SEARCH(Aliases!$A$5:$A$80,E40))*(Aliases!$A$5:$A$80&lt;&gt;""),0),0)),"UNMATCHED"))</f>
        <v/>
      </c>
      <c r="M40" s="16"/>
      <c r="N40" s="16"/>
    </row>
    <row r="41" spans="1:14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6"/>
      <c r="L41" s="15" t="str">
        <f>IF(E41="","",IFERROR(INDEX(Aliases!$B$5:$B$80,MATCH(1,INDEX(ISNUMBER(SEARCH(Aliases!$A$5:$A$80,E41))*(Aliases!$A$5:$A$80&lt;&gt;""),0),0)),"UNMATCHED"))</f>
        <v/>
      </c>
      <c r="M41" s="16"/>
      <c r="N41" s="16"/>
    </row>
    <row r="42" spans="1:14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6"/>
      <c r="L42" s="15" t="str">
        <f>IF(E42="","",IFERROR(INDEX(Aliases!$B$5:$B$80,MATCH(1,INDEX(ISNUMBER(SEARCH(Aliases!$A$5:$A$80,E42))*(Aliases!$A$5:$A$80&lt;&gt;""),0),0)),"UNMATCHED"))</f>
        <v/>
      </c>
      <c r="M42" s="16"/>
      <c r="N42" s="16"/>
    </row>
    <row r="43" spans="1:14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6"/>
      <c r="L43" s="15" t="str">
        <f>IF(E43="","",IFERROR(INDEX(Aliases!$B$5:$B$80,MATCH(1,INDEX(ISNUMBER(SEARCH(Aliases!$A$5:$A$80,E43))*(Aliases!$A$5:$A$80&lt;&gt;""),0),0)),"UNMATCHED"))</f>
        <v/>
      </c>
      <c r="M43" s="16"/>
      <c r="N43" s="16"/>
    </row>
    <row r="44" spans="1:14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6"/>
      <c r="L44" s="15" t="str">
        <f>IF(E44="","",IFERROR(INDEX(Aliases!$B$5:$B$80,MATCH(1,INDEX(ISNUMBER(SEARCH(Aliases!$A$5:$A$80,E44))*(Aliases!$A$5:$A$80&lt;&gt;""),0),0)),"UNMATCHED"))</f>
        <v/>
      </c>
      <c r="M44" s="16"/>
      <c r="N44" s="16"/>
    </row>
    <row r="45" spans="1:14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6"/>
      <c r="L45" s="15" t="str">
        <f>IF(E45="","",IFERROR(INDEX(Aliases!$B$5:$B$80,MATCH(1,INDEX(ISNUMBER(SEARCH(Aliases!$A$5:$A$80,E45))*(Aliases!$A$5:$A$80&lt;&gt;""),0),0)),"UNMATCHED"))</f>
        <v/>
      </c>
      <c r="M45" s="16"/>
      <c r="N45" s="16"/>
    </row>
    <row r="46" spans="1:14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6"/>
      <c r="L46" s="15" t="str">
        <f>IF(E46="","",IFERROR(INDEX(Aliases!$B$5:$B$80,MATCH(1,INDEX(ISNUMBER(SEARCH(Aliases!$A$5:$A$80,E46))*(Aliases!$A$5:$A$80&lt;&gt;""),0),0)),"UNMATCHED"))</f>
        <v/>
      </c>
      <c r="M46" s="16"/>
      <c r="N46" s="16"/>
    </row>
    <row r="47" spans="1:14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6"/>
      <c r="L47" s="15" t="str">
        <f>IF(E47="","",IFERROR(INDEX(Aliases!$B$5:$B$80,MATCH(1,INDEX(ISNUMBER(SEARCH(Aliases!$A$5:$A$80,E47))*(Aliases!$A$5:$A$80&lt;&gt;""),0),0)),"UNMATCHED"))</f>
        <v/>
      </c>
      <c r="M47" s="16"/>
      <c r="N47" s="16"/>
    </row>
    <row r="48" spans="1:14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6"/>
      <c r="L48" s="15" t="str">
        <f>IF(E48="","",IFERROR(INDEX(Aliases!$B$5:$B$80,MATCH(1,INDEX(ISNUMBER(SEARCH(Aliases!$A$5:$A$80,E48))*(Aliases!$A$5:$A$80&lt;&gt;""),0),0)),"UNMATCHED"))</f>
        <v/>
      </c>
      <c r="M48" s="16"/>
      <c r="N48" s="16"/>
    </row>
    <row r="49" spans="1:14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6"/>
      <c r="L49" s="15" t="str">
        <f>IF(E49="","",IFERROR(INDEX(Aliases!$B$5:$B$80,MATCH(1,INDEX(ISNUMBER(SEARCH(Aliases!$A$5:$A$80,E49))*(Aliases!$A$5:$A$80&lt;&gt;""),0),0)),"UNMATCHED"))</f>
        <v/>
      </c>
      <c r="M49" s="16"/>
      <c r="N49" s="16"/>
    </row>
    <row r="50" spans="1:14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6"/>
      <c r="L50" s="15" t="str">
        <f>IF(E50="","",IFERROR(INDEX(Aliases!$B$5:$B$80,MATCH(1,INDEX(ISNUMBER(SEARCH(Aliases!$A$5:$A$80,E50))*(Aliases!$A$5:$A$80&lt;&gt;""),0),0)),"UNMATCHED"))</f>
        <v/>
      </c>
      <c r="M50" s="16"/>
      <c r="N50" s="16"/>
    </row>
    <row r="51" spans="1:14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6"/>
      <c r="L51" s="15" t="str">
        <f>IF(E51="","",IFERROR(INDEX(Aliases!$B$5:$B$80,MATCH(1,INDEX(ISNUMBER(SEARCH(Aliases!$A$5:$A$80,E51))*(Aliases!$A$5:$A$80&lt;&gt;""),0),0)),"UNMATCHED"))</f>
        <v/>
      </c>
      <c r="M51" s="16"/>
      <c r="N51" s="16"/>
    </row>
    <row r="52" spans="1:14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6"/>
      <c r="L52" s="15" t="str">
        <f>IF(E52="","",IFERROR(INDEX(Aliases!$B$5:$B$80,MATCH(1,INDEX(ISNUMBER(SEARCH(Aliases!$A$5:$A$80,E52))*(Aliases!$A$5:$A$80&lt;&gt;""),0),0)),"UNMATCHED"))</f>
        <v/>
      </c>
      <c r="M52" s="16"/>
      <c r="N52" s="16"/>
    </row>
    <row r="53" spans="1:14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6"/>
      <c r="L53" s="15" t="str">
        <f>IF(E53="","",IFERROR(INDEX(Aliases!$B$5:$B$80,MATCH(1,INDEX(ISNUMBER(SEARCH(Aliases!$A$5:$A$80,E53))*(Aliases!$A$5:$A$80&lt;&gt;""),0),0)),"UNMATCHED"))</f>
        <v/>
      </c>
      <c r="M53" s="16"/>
      <c r="N53" s="16"/>
    </row>
    <row r="54" spans="1:14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6"/>
      <c r="L54" s="15" t="str">
        <f>IF(E54="","",IFERROR(INDEX(Aliases!$B$5:$B$80,MATCH(1,INDEX(ISNUMBER(SEARCH(Aliases!$A$5:$A$80,E54))*(Aliases!$A$5:$A$80&lt;&gt;""),0),0)),"UNMATCHED"))</f>
        <v/>
      </c>
      <c r="M54" s="16"/>
      <c r="N54" s="16"/>
    </row>
    <row r="55" spans="1:14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6"/>
      <c r="L55" s="15" t="str">
        <f>IF(E55="","",IFERROR(INDEX(Aliases!$B$5:$B$80,MATCH(1,INDEX(ISNUMBER(SEARCH(Aliases!$A$5:$A$80,E55))*(Aliases!$A$5:$A$80&lt;&gt;""),0),0)),"UNMATCHED"))</f>
        <v/>
      </c>
      <c r="M55" s="16"/>
      <c r="N55" s="16"/>
    </row>
    <row r="56" spans="1:14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6"/>
      <c r="L56" s="15" t="str">
        <f>IF(E56="","",IFERROR(INDEX(Aliases!$B$5:$B$80,MATCH(1,INDEX(ISNUMBER(SEARCH(Aliases!$A$5:$A$80,E56))*(Aliases!$A$5:$A$80&lt;&gt;""),0),0)),"UNMATCHED"))</f>
        <v/>
      </c>
      <c r="M56" s="16"/>
      <c r="N56" s="16"/>
    </row>
    <row r="57" spans="1:14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6"/>
      <c r="L57" s="15" t="str">
        <f>IF(E57="","",IFERROR(INDEX(Aliases!$B$5:$B$80,MATCH(1,INDEX(ISNUMBER(SEARCH(Aliases!$A$5:$A$80,E57))*(Aliases!$A$5:$A$80&lt;&gt;""),0),0)),"UNMATCHED"))</f>
        <v/>
      </c>
      <c r="M57" s="16"/>
      <c r="N57" s="16"/>
    </row>
    <row r="58" spans="1:14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6"/>
      <c r="L58" s="15" t="str">
        <f>IF(E58="","",IFERROR(INDEX(Aliases!$B$5:$B$80,MATCH(1,INDEX(ISNUMBER(SEARCH(Aliases!$A$5:$A$80,E58))*(Aliases!$A$5:$A$80&lt;&gt;""),0),0)),"UNMATCHED"))</f>
        <v/>
      </c>
      <c r="M58" s="16"/>
      <c r="N58" s="16"/>
    </row>
    <row r="59" spans="1:14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6"/>
      <c r="L59" s="15" t="str">
        <f>IF(E59="","",IFERROR(INDEX(Aliases!$B$5:$B$80,MATCH(1,INDEX(ISNUMBER(SEARCH(Aliases!$A$5:$A$80,E59))*(Aliases!$A$5:$A$80&lt;&gt;""),0),0)),"UNMATCHED"))</f>
        <v/>
      </c>
      <c r="M59" s="16"/>
      <c r="N59" s="16"/>
    </row>
    <row r="60" spans="1:14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6"/>
      <c r="L60" s="15" t="str">
        <f>IF(E60="","",IFERROR(INDEX(Aliases!$B$5:$B$80,MATCH(1,INDEX(ISNUMBER(SEARCH(Aliases!$A$5:$A$80,E60))*(Aliases!$A$5:$A$80&lt;&gt;""),0),0)),"UNMATCHED"))</f>
        <v/>
      </c>
      <c r="M60" s="16"/>
      <c r="N60" s="16"/>
    </row>
    <row r="61" spans="1:14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6"/>
      <c r="L61" s="15" t="str">
        <f>IF(E61="","",IFERROR(INDEX(Aliases!$B$5:$B$80,MATCH(1,INDEX(ISNUMBER(SEARCH(Aliases!$A$5:$A$80,E61))*(Aliases!$A$5:$A$80&lt;&gt;""),0),0)),"UNMATCHED"))</f>
        <v/>
      </c>
      <c r="M61" s="16"/>
      <c r="N61" s="16"/>
    </row>
    <row r="62" spans="1:14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6"/>
      <c r="L62" s="15" t="str">
        <f>IF(E62="","",IFERROR(INDEX(Aliases!$B$5:$B$80,MATCH(1,INDEX(ISNUMBER(SEARCH(Aliases!$A$5:$A$80,E62))*(Aliases!$A$5:$A$80&lt;&gt;""),0),0)),"UNMATCHED"))</f>
        <v/>
      </c>
      <c r="M62" s="16"/>
      <c r="N62" s="16"/>
    </row>
    <row r="63" spans="1:14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6"/>
      <c r="L63" s="15" t="str">
        <f>IF(E63="","",IFERROR(INDEX(Aliases!$B$5:$B$80,MATCH(1,INDEX(ISNUMBER(SEARCH(Aliases!$A$5:$A$80,E63))*(Aliases!$A$5:$A$80&lt;&gt;""),0),0)),"UNMATCHED"))</f>
        <v/>
      </c>
      <c r="M63" s="16"/>
      <c r="N63" s="16"/>
    </row>
    <row r="64" spans="1:14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6"/>
      <c r="L64" s="15" t="str">
        <f>IF(E64="","",IFERROR(INDEX(Aliases!$B$5:$B$80,MATCH(1,INDEX(ISNUMBER(SEARCH(Aliases!$A$5:$A$80,E64))*(Aliases!$A$5:$A$80&lt;&gt;""),0),0)),"UNMATCHED"))</f>
        <v/>
      </c>
      <c r="M64" s="16"/>
      <c r="N64" s="16"/>
    </row>
    <row r="65" spans="1:14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6"/>
      <c r="L65" s="15" t="str">
        <f>IF(E65="","",IFERROR(INDEX(Aliases!$B$5:$B$80,MATCH(1,INDEX(ISNUMBER(SEARCH(Aliases!$A$5:$A$80,E65))*(Aliases!$A$5:$A$80&lt;&gt;""),0),0)),"UNMATCHED"))</f>
        <v/>
      </c>
      <c r="M65" s="16"/>
      <c r="N65" s="16"/>
    </row>
    <row r="66" spans="1:14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6"/>
      <c r="L66" s="15" t="str">
        <f>IF(E66="","",IFERROR(INDEX(Aliases!$B$5:$B$80,MATCH(1,INDEX(ISNUMBER(SEARCH(Aliases!$A$5:$A$80,E66))*(Aliases!$A$5:$A$80&lt;&gt;""),0),0)),"UNMATCHED"))</f>
        <v/>
      </c>
      <c r="M66" s="16"/>
      <c r="N66" s="16"/>
    </row>
    <row r="67" spans="1:14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6"/>
      <c r="L67" s="15" t="str">
        <f>IF(E67="","",IFERROR(INDEX(Aliases!$B$5:$B$80,MATCH(1,INDEX(ISNUMBER(SEARCH(Aliases!$A$5:$A$80,E67))*(Aliases!$A$5:$A$80&lt;&gt;""),0),0)),"UNMATCHED"))</f>
        <v/>
      </c>
      <c r="M67" s="16"/>
      <c r="N67" s="16"/>
    </row>
    <row r="68" spans="1:14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6"/>
      <c r="L68" s="15" t="str">
        <f>IF(E68="","",IFERROR(INDEX(Aliases!$B$5:$B$80,MATCH(1,INDEX(ISNUMBER(SEARCH(Aliases!$A$5:$A$80,E68))*(Aliases!$A$5:$A$80&lt;&gt;""),0),0)),"UNMATCHED"))</f>
        <v/>
      </c>
      <c r="M68" s="16"/>
      <c r="N68" s="16"/>
    </row>
    <row r="69" spans="1:14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6"/>
      <c r="L69" s="15" t="str">
        <f>IF(E69="","",IFERROR(INDEX(Aliases!$B$5:$B$80,MATCH(1,INDEX(ISNUMBER(SEARCH(Aliases!$A$5:$A$80,E69))*(Aliases!$A$5:$A$80&lt;&gt;""),0),0)),"UNMATCHED"))</f>
        <v/>
      </c>
      <c r="M69" s="16"/>
      <c r="N69" s="16"/>
    </row>
    <row r="70" spans="1:14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6"/>
      <c r="L70" s="15" t="str">
        <f>IF(E70="","",IFERROR(INDEX(Aliases!$B$5:$B$80,MATCH(1,INDEX(ISNUMBER(SEARCH(Aliases!$A$5:$A$80,E70))*(Aliases!$A$5:$A$80&lt;&gt;""),0),0)),"UNMATCHED"))</f>
        <v/>
      </c>
      <c r="M70" s="16"/>
      <c r="N70" s="16"/>
    </row>
    <row r="71" spans="1:14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6"/>
      <c r="L71" s="15" t="str">
        <f>IF(E71="","",IFERROR(INDEX(Aliases!$B$5:$B$80,MATCH(1,INDEX(ISNUMBER(SEARCH(Aliases!$A$5:$A$80,E71))*(Aliases!$A$5:$A$80&lt;&gt;""),0),0)),"UNMATCHED"))</f>
        <v/>
      </c>
      <c r="M71" s="16"/>
      <c r="N71" s="16"/>
    </row>
    <row r="72" spans="1:14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6"/>
      <c r="L72" s="15" t="str">
        <f>IF(E72="","",IFERROR(INDEX(Aliases!$B$5:$B$80,MATCH(1,INDEX(ISNUMBER(SEARCH(Aliases!$A$5:$A$80,E72))*(Aliases!$A$5:$A$80&lt;&gt;""),0),0)),"UNMATCHED"))</f>
        <v/>
      </c>
      <c r="M72" s="16"/>
      <c r="N72" s="16"/>
    </row>
    <row r="73" spans="1:14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6"/>
      <c r="L73" s="15" t="str">
        <f>IF(E73="","",IFERROR(INDEX(Aliases!$B$5:$B$80,MATCH(1,INDEX(ISNUMBER(SEARCH(Aliases!$A$5:$A$80,E73))*(Aliases!$A$5:$A$80&lt;&gt;""),0),0)),"UNMATCHED"))</f>
        <v/>
      </c>
      <c r="M73" s="16"/>
      <c r="N73" s="16"/>
    </row>
    <row r="74" spans="1:14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6"/>
      <c r="L74" s="15" t="str">
        <f>IF(E74="","",IFERROR(INDEX(Aliases!$B$5:$B$80,MATCH(1,INDEX(ISNUMBER(SEARCH(Aliases!$A$5:$A$80,E74))*(Aliases!$A$5:$A$80&lt;&gt;""),0),0)),"UNMATCHED"))</f>
        <v/>
      </c>
      <c r="M74" s="16"/>
      <c r="N74" s="16"/>
    </row>
    <row r="75" spans="1:14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6"/>
      <c r="L75" s="15" t="str">
        <f>IF(E75="","",IFERROR(INDEX(Aliases!$B$5:$B$80,MATCH(1,INDEX(ISNUMBER(SEARCH(Aliases!$A$5:$A$80,E75))*(Aliases!$A$5:$A$80&lt;&gt;""),0),0)),"UNMATCHED"))</f>
        <v/>
      </c>
      <c r="M75" s="16"/>
      <c r="N75" s="16"/>
    </row>
    <row r="76" spans="1:14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6"/>
      <c r="L76" s="15" t="str">
        <f>IF(E76="","",IFERROR(INDEX(Aliases!$B$5:$B$80,MATCH(1,INDEX(ISNUMBER(SEARCH(Aliases!$A$5:$A$80,E76))*(Aliases!$A$5:$A$80&lt;&gt;""),0),0)),"UNMATCHED"))</f>
        <v/>
      </c>
      <c r="M76" s="16"/>
      <c r="N76" s="16"/>
    </row>
    <row r="77" spans="1:14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6"/>
      <c r="L77" s="15" t="str">
        <f>IF(E77="","",IFERROR(INDEX(Aliases!$B$5:$B$80,MATCH(1,INDEX(ISNUMBER(SEARCH(Aliases!$A$5:$A$80,E77))*(Aliases!$A$5:$A$80&lt;&gt;""),0),0)),"UNMATCHED"))</f>
        <v/>
      </c>
      <c r="M77" s="16"/>
      <c r="N77" s="16"/>
    </row>
    <row r="78" spans="1:14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6"/>
      <c r="L78" s="15" t="str">
        <f>IF(E78="","",IFERROR(INDEX(Aliases!$B$5:$B$80,MATCH(1,INDEX(ISNUMBER(SEARCH(Aliases!$A$5:$A$80,E78))*(Aliases!$A$5:$A$80&lt;&gt;""),0),0)),"UNMATCHED"))</f>
        <v/>
      </c>
      <c r="M78" s="16"/>
      <c r="N78" s="16"/>
    </row>
    <row r="79" spans="1:14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6"/>
      <c r="L79" s="15" t="str">
        <f>IF(E79="","",IFERROR(INDEX(Aliases!$B$5:$B$80,MATCH(1,INDEX(ISNUMBER(SEARCH(Aliases!$A$5:$A$80,E79))*(Aliases!$A$5:$A$80&lt;&gt;""),0),0)),"UNMATCHED"))</f>
        <v/>
      </c>
      <c r="M79" s="16"/>
      <c r="N79" s="16"/>
    </row>
    <row r="80" spans="1:14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6"/>
      <c r="L80" s="15" t="str">
        <f>IF(E80="","",IFERROR(INDEX(Aliases!$B$5:$B$80,MATCH(1,INDEX(ISNUMBER(SEARCH(Aliases!$A$5:$A$80,E80))*(Aliases!$A$5:$A$80&lt;&gt;""),0),0)),"UNMATCHED"))</f>
        <v/>
      </c>
      <c r="M80" s="16"/>
      <c r="N80" s="16"/>
    </row>
    <row r="81" spans="1:14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6"/>
      <c r="L81" s="15" t="str">
        <f>IF(E81="","",IFERROR(INDEX(Aliases!$B$5:$B$80,MATCH(1,INDEX(ISNUMBER(SEARCH(Aliases!$A$5:$A$80,E81))*(Aliases!$A$5:$A$80&lt;&gt;""),0),0)),"UNMATCHED"))</f>
        <v/>
      </c>
      <c r="M81" s="16"/>
      <c r="N81" s="16"/>
    </row>
    <row r="82" spans="1:14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6"/>
      <c r="L82" s="15" t="str">
        <f>IF(E82="","",IFERROR(INDEX(Aliases!$B$5:$B$80,MATCH(1,INDEX(ISNUMBER(SEARCH(Aliases!$A$5:$A$80,E82))*(Aliases!$A$5:$A$80&lt;&gt;""),0),0)),"UNMATCHED"))</f>
        <v/>
      </c>
      <c r="M82" s="16"/>
      <c r="N82" s="16"/>
    </row>
    <row r="83" spans="1:14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6"/>
      <c r="L83" s="15" t="str">
        <f>IF(E83="","",IFERROR(INDEX(Aliases!$B$5:$B$80,MATCH(1,INDEX(ISNUMBER(SEARCH(Aliases!$A$5:$A$80,E83))*(Aliases!$A$5:$A$80&lt;&gt;""),0),0)),"UNMATCHED"))</f>
        <v/>
      </c>
      <c r="M83" s="16"/>
      <c r="N83" s="16"/>
    </row>
    <row r="84" spans="1:14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6"/>
      <c r="L84" s="15" t="str">
        <f>IF(E84="","",IFERROR(INDEX(Aliases!$B$5:$B$80,MATCH(1,INDEX(ISNUMBER(SEARCH(Aliases!$A$5:$A$80,E84))*(Aliases!$A$5:$A$80&lt;&gt;""),0),0)),"UNMATCHED"))</f>
        <v/>
      </c>
      <c r="M84" s="16"/>
      <c r="N84" s="16"/>
    </row>
    <row r="85" spans="1:14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6"/>
      <c r="L85" s="15" t="str">
        <f>IF(E85="","",IFERROR(INDEX(Aliases!$B$5:$B$80,MATCH(1,INDEX(ISNUMBER(SEARCH(Aliases!$A$5:$A$80,E85))*(Aliases!$A$5:$A$80&lt;&gt;""),0),0)),"UNMATCHED"))</f>
        <v/>
      </c>
      <c r="M85" s="16"/>
      <c r="N85" s="16"/>
    </row>
    <row r="86" spans="1:14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5" t="str">
        <f>IF(E86="","",IFERROR(INDEX(Aliases!$B$5:$B$80,MATCH(1,INDEX(ISNUMBER(SEARCH(Aliases!$A$5:$A$80,E86))*(Aliases!$A$5:$A$80&lt;&gt;""),0),0)),"UNMATCHED"))</f>
        <v/>
      </c>
      <c r="M86" s="16"/>
      <c r="N86" s="16"/>
    </row>
    <row r="87" spans="1:14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6"/>
      <c r="L87" s="15" t="str">
        <f>IF(E87="","",IFERROR(INDEX(Aliases!$B$5:$B$80,MATCH(1,INDEX(ISNUMBER(SEARCH(Aliases!$A$5:$A$80,E87))*(Aliases!$A$5:$A$80&lt;&gt;""),0),0)),"UNMATCHED"))</f>
        <v/>
      </c>
      <c r="M87" s="16"/>
      <c r="N87" s="16"/>
    </row>
    <row r="88" spans="1:14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6"/>
      <c r="L88" s="15" t="str">
        <f>IF(E88="","",IFERROR(INDEX(Aliases!$B$5:$B$80,MATCH(1,INDEX(ISNUMBER(SEARCH(Aliases!$A$5:$A$80,E88))*(Aliases!$A$5:$A$80&lt;&gt;""),0),0)),"UNMATCHED"))</f>
        <v/>
      </c>
      <c r="M88" s="16"/>
      <c r="N88" s="16"/>
    </row>
    <row r="89" spans="1:14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6"/>
      <c r="L89" s="15" t="str">
        <f>IF(E89="","",IFERROR(INDEX(Aliases!$B$5:$B$80,MATCH(1,INDEX(ISNUMBER(SEARCH(Aliases!$A$5:$A$80,E89))*(Aliases!$A$5:$A$80&lt;&gt;""),0),0)),"UNMATCHED"))</f>
        <v/>
      </c>
      <c r="M89" s="16"/>
      <c r="N89" s="16"/>
    </row>
    <row r="90" spans="1:14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6"/>
      <c r="L90" s="15" t="str">
        <f>IF(E90="","",IFERROR(INDEX(Aliases!$B$5:$B$80,MATCH(1,INDEX(ISNUMBER(SEARCH(Aliases!$A$5:$A$80,E90))*(Aliases!$A$5:$A$80&lt;&gt;""),0),0)),"UNMATCHED"))</f>
        <v/>
      </c>
      <c r="M90" s="16"/>
      <c r="N90" s="16"/>
    </row>
    <row r="91" spans="1:14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6"/>
      <c r="L91" s="15" t="str">
        <f>IF(E91="","",IFERROR(INDEX(Aliases!$B$5:$B$80,MATCH(1,INDEX(ISNUMBER(SEARCH(Aliases!$A$5:$A$80,E91))*(Aliases!$A$5:$A$80&lt;&gt;""),0),0)),"UNMATCHED"))</f>
        <v/>
      </c>
      <c r="M91" s="16"/>
      <c r="N91" s="16"/>
    </row>
    <row r="92" spans="1:14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6"/>
      <c r="L92" s="15" t="str">
        <f>IF(E92="","",IFERROR(INDEX(Aliases!$B$5:$B$80,MATCH(1,INDEX(ISNUMBER(SEARCH(Aliases!$A$5:$A$80,E92))*(Aliases!$A$5:$A$80&lt;&gt;""),0),0)),"UNMATCHED"))</f>
        <v/>
      </c>
      <c r="M92" s="16"/>
      <c r="N92" s="16"/>
    </row>
    <row r="93" spans="1:14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6"/>
      <c r="L93" s="15" t="str">
        <f>IF(E93="","",IFERROR(INDEX(Aliases!$B$5:$B$80,MATCH(1,INDEX(ISNUMBER(SEARCH(Aliases!$A$5:$A$80,E93))*(Aliases!$A$5:$A$80&lt;&gt;""),0),0)),"UNMATCHED"))</f>
        <v/>
      </c>
      <c r="M93" s="16"/>
      <c r="N93" s="16"/>
    </row>
    <row r="94" spans="1:14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6"/>
      <c r="L94" s="15" t="str">
        <f>IF(E94="","",IFERROR(INDEX(Aliases!$B$5:$B$80,MATCH(1,INDEX(ISNUMBER(SEARCH(Aliases!$A$5:$A$80,E94))*(Aliases!$A$5:$A$80&lt;&gt;""),0),0)),"UNMATCHED"))</f>
        <v/>
      </c>
      <c r="M94" s="16"/>
      <c r="N94" s="16"/>
    </row>
    <row r="95" spans="1:14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6"/>
      <c r="L95" s="15" t="str">
        <f>IF(E95="","",IFERROR(INDEX(Aliases!$B$5:$B$80,MATCH(1,INDEX(ISNUMBER(SEARCH(Aliases!$A$5:$A$80,E95))*(Aliases!$A$5:$A$80&lt;&gt;""),0),0)),"UNMATCHED"))</f>
        <v/>
      </c>
      <c r="M95" s="16"/>
      <c r="N95" s="16"/>
    </row>
    <row r="96" spans="1:14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6"/>
      <c r="L96" s="15" t="str">
        <f>IF(E96="","",IFERROR(INDEX(Aliases!$B$5:$B$80,MATCH(1,INDEX(ISNUMBER(SEARCH(Aliases!$A$5:$A$80,E96))*(Aliases!$A$5:$A$80&lt;&gt;""),0),0)),"UNMATCHED"))</f>
        <v/>
      </c>
      <c r="M96" s="16"/>
      <c r="N96" s="16"/>
    </row>
    <row r="97" spans="1:14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6"/>
      <c r="L97" s="15" t="str">
        <f>IF(E97="","",IFERROR(INDEX(Aliases!$B$5:$B$80,MATCH(1,INDEX(ISNUMBER(SEARCH(Aliases!$A$5:$A$80,E97))*(Aliases!$A$5:$A$80&lt;&gt;""),0),0)),"UNMATCHED"))</f>
        <v/>
      </c>
      <c r="M97" s="16"/>
      <c r="N97" s="16"/>
    </row>
    <row r="98" spans="1:14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6"/>
      <c r="L98" s="15" t="str">
        <f>IF(E98="","",IFERROR(INDEX(Aliases!$B$5:$B$80,MATCH(1,INDEX(ISNUMBER(SEARCH(Aliases!$A$5:$A$80,E98))*(Aliases!$A$5:$A$80&lt;&gt;""),0),0)),"UNMATCHED"))</f>
        <v/>
      </c>
      <c r="M98" s="16"/>
      <c r="N98" s="16"/>
    </row>
    <row r="99" spans="1:14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6"/>
      <c r="L99" s="15" t="str">
        <f>IF(E99="","",IFERROR(INDEX(Aliases!$B$5:$B$80,MATCH(1,INDEX(ISNUMBER(SEARCH(Aliases!$A$5:$A$80,E99))*(Aliases!$A$5:$A$80&lt;&gt;""),0),0)),"UNMATCHED"))</f>
        <v/>
      </c>
      <c r="M99" s="16"/>
      <c r="N99" s="16"/>
    </row>
    <row r="100" spans="1:14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6"/>
      <c r="L100" s="15" t="str">
        <f>IF(E100="","",IFERROR(INDEX(Aliases!$B$5:$B$80,MATCH(1,INDEX(ISNUMBER(SEARCH(Aliases!$A$5:$A$80,E100))*(Aliases!$A$5:$A$80&lt;&gt;""),0),0)),"UNMATCHED"))</f>
        <v/>
      </c>
      <c r="M100" s="16"/>
      <c r="N100" s="16"/>
    </row>
    <row r="101" spans="1:14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6"/>
      <c r="L101" s="15" t="str">
        <f>IF(E101="","",IFERROR(INDEX(Aliases!$B$5:$B$80,MATCH(1,INDEX(ISNUMBER(SEARCH(Aliases!$A$5:$A$80,E101))*(Aliases!$A$5:$A$80&lt;&gt;""),0),0)),"UNMATCHED"))</f>
        <v/>
      </c>
      <c r="M101" s="16"/>
      <c r="N101" s="16"/>
    </row>
    <row r="102" spans="1:14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6"/>
      <c r="L102" s="15" t="str">
        <f>IF(E102="","",IFERROR(INDEX(Aliases!$B$5:$B$80,MATCH(1,INDEX(ISNUMBER(SEARCH(Aliases!$A$5:$A$80,E102))*(Aliases!$A$5:$A$80&lt;&gt;""),0),0)),"UNMATCHED"))</f>
        <v/>
      </c>
      <c r="M102" s="16"/>
      <c r="N102" s="16"/>
    </row>
    <row r="103" spans="1:14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6"/>
      <c r="L103" s="15" t="str">
        <f>IF(E103="","",IFERROR(INDEX(Aliases!$B$5:$B$80,MATCH(1,INDEX(ISNUMBER(SEARCH(Aliases!$A$5:$A$80,E103))*(Aliases!$A$5:$A$80&lt;&gt;""),0),0)),"UNMATCHED"))</f>
        <v/>
      </c>
      <c r="M103" s="16"/>
      <c r="N103" s="16"/>
    </row>
    <row r="104" spans="1:14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6"/>
      <c r="L104" s="15" t="str">
        <f>IF(E104="","",IFERROR(INDEX(Aliases!$B$5:$B$80,MATCH(1,INDEX(ISNUMBER(SEARCH(Aliases!$A$5:$A$80,E104))*(Aliases!$A$5:$A$80&lt;&gt;""),0),0)),"UNMATCHED"))</f>
        <v/>
      </c>
      <c r="M104" s="16"/>
      <c r="N104" s="16"/>
    </row>
    <row r="105" spans="1:14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6"/>
      <c r="L105" s="15" t="str">
        <f>IF(E105="","",IFERROR(INDEX(Aliases!$B$5:$B$80,MATCH(1,INDEX(ISNUMBER(SEARCH(Aliases!$A$5:$A$80,E105))*(Aliases!$A$5:$A$80&lt;&gt;""),0),0)),"UNMATCHED"))</f>
        <v/>
      </c>
      <c r="M105" s="16"/>
      <c r="N105" s="16"/>
    </row>
    <row r="106" spans="1:14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6"/>
      <c r="L106" s="15" t="str">
        <f>IF(E106="","",IFERROR(INDEX(Aliases!$B$5:$B$80,MATCH(1,INDEX(ISNUMBER(SEARCH(Aliases!$A$5:$A$80,E106))*(Aliases!$A$5:$A$80&lt;&gt;""),0),0)),"UNMATCHED"))</f>
        <v/>
      </c>
      <c r="M106" s="16"/>
      <c r="N106" s="16"/>
    </row>
    <row r="107" spans="1:14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6"/>
      <c r="L107" s="15" t="str">
        <f>IF(E107="","",IFERROR(INDEX(Aliases!$B$5:$B$80,MATCH(1,INDEX(ISNUMBER(SEARCH(Aliases!$A$5:$A$80,E107))*(Aliases!$A$5:$A$80&lt;&gt;""),0),0)),"UNMATCHED"))</f>
        <v/>
      </c>
      <c r="M107" s="16"/>
      <c r="N107" s="16"/>
    </row>
    <row r="108" spans="1:14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6"/>
      <c r="L108" s="15" t="str">
        <f>IF(E108="","",IFERROR(INDEX(Aliases!$B$5:$B$80,MATCH(1,INDEX(ISNUMBER(SEARCH(Aliases!$A$5:$A$80,E108))*(Aliases!$A$5:$A$80&lt;&gt;""),0),0)),"UNMATCHED"))</f>
        <v/>
      </c>
      <c r="M108" s="16"/>
      <c r="N108" s="16"/>
    </row>
    <row r="109" spans="1:14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6"/>
      <c r="L109" s="15" t="str">
        <f>IF(E109="","",IFERROR(INDEX(Aliases!$B$5:$B$80,MATCH(1,INDEX(ISNUMBER(SEARCH(Aliases!$A$5:$A$80,E109))*(Aliases!$A$5:$A$80&lt;&gt;""),0),0)),"UNMATCHED"))</f>
        <v/>
      </c>
      <c r="M109" s="16"/>
      <c r="N109" s="16"/>
    </row>
    <row r="110" spans="1:14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6"/>
      <c r="L110" s="15" t="str">
        <f>IF(E110="","",IFERROR(INDEX(Aliases!$B$5:$B$80,MATCH(1,INDEX(ISNUMBER(SEARCH(Aliases!$A$5:$A$80,E110))*(Aliases!$A$5:$A$80&lt;&gt;""),0),0)),"UNMATCHED"))</f>
        <v/>
      </c>
      <c r="M110" s="16"/>
      <c r="N110" s="16"/>
    </row>
    <row r="111" spans="1:14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6"/>
      <c r="L111" s="15" t="str">
        <f>IF(E111="","",IFERROR(INDEX(Aliases!$B$5:$B$80,MATCH(1,INDEX(ISNUMBER(SEARCH(Aliases!$A$5:$A$80,E111))*(Aliases!$A$5:$A$80&lt;&gt;""),0),0)),"UNMATCHED"))</f>
        <v/>
      </c>
      <c r="M111" s="16"/>
      <c r="N111" s="16"/>
    </row>
    <row r="112" spans="1:14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6"/>
      <c r="L112" s="15" t="str">
        <f>IF(E112="","",IFERROR(INDEX(Aliases!$B$5:$B$80,MATCH(1,INDEX(ISNUMBER(SEARCH(Aliases!$A$5:$A$80,E112))*(Aliases!$A$5:$A$80&lt;&gt;""),0),0)),"UNMATCHED"))</f>
        <v/>
      </c>
      <c r="M112" s="16"/>
      <c r="N112" s="16"/>
    </row>
    <row r="113" spans="1:14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6"/>
      <c r="L113" s="15" t="str">
        <f>IF(E113="","",IFERROR(INDEX(Aliases!$B$5:$B$80,MATCH(1,INDEX(ISNUMBER(SEARCH(Aliases!$A$5:$A$80,E113))*(Aliases!$A$5:$A$80&lt;&gt;""),0),0)),"UNMATCHED"))</f>
        <v/>
      </c>
      <c r="M113" s="16"/>
      <c r="N113" s="16"/>
    </row>
    <row r="114" spans="1:14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6"/>
      <c r="L114" s="15" t="str">
        <f>IF(E114="","",IFERROR(INDEX(Aliases!$B$5:$B$80,MATCH(1,INDEX(ISNUMBER(SEARCH(Aliases!$A$5:$A$80,E114))*(Aliases!$A$5:$A$80&lt;&gt;""),0),0)),"UNMATCHED"))</f>
        <v/>
      </c>
      <c r="M114" s="16"/>
      <c r="N114" s="16"/>
    </row>
    <row r="115" spans="1:14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6"/>
      <c r="L115" s="15" t="str">
        <f>IF(E115="","",IFERROR(INDEX(Aliases!$B$5:$B$80,MATCH(1,INDEX(ISNUMBER(SEARCH(Aliases!$A$5:$A$80,E115))*(Aliases!$A$5:$A$80&lt;&gt;""),0),0)),"UNMATCHED"))</f>
        <v/>
      </c>
      <c r="M115" s="16"/>
      <c r="N115" s="16"/>
    </row>
    <row r="116" spans="1:14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6"/>
      <c r="L116" s="15" t="str">
        <f>IF(E116="","",IFERROR(INDEX(Aliases!$B$5:$B$80,MATCH(1,INDEX(ISNUMBER(SEARCH(Aliases!$A$5:$A$80,E116))*(Aliases!$A$5:$A$80&lt;&gt;""),0),0)),"UNMATCHED"))</f>
        <v/>
      </c>
      <c r="M116" s="16"/>
      <c r="N116" s="16"/>
    </row>
    <row r="117" spans="1:14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6"/>
      <c r="L117" s="15" t="str">
        <f>IF(E117="","",IFERROR(INDEX(Aliases!$B$5:$B$80,MATCH(1,INDEX(ISNUMBER(SEARCH(Aliases!$A$5:$A$80,E117))*(Aliases!$A$5:$A$80&lt;&gt;""),0),0)),"UNMATCHED"))</f>
        <v/>
      </c>
      <c r="M117" s="16"/>
      <c r="N117" s="16"/>
    </row>
    <row r="118" spans="1:14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6"/>
      <c r="L118" s="15" t="str">
        <f>IF(E118="","",IFERROR(INDEX(Aliases!$B$5:$B$80,MATCH(1,INDEX(ISNUMBER(SEARCH(Aliases!$A$5:$A$80,E118))*(Aliases!$A$5:$A$80&lt;&gt;""),0),0)),"UNMATCHED"))</f>
        <v/>
      </c>
      <c r="M118" s="16"/>
      <c r="N118" s="16"/>
    </row>
    <row r="119" spans="1:14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6"/>
      <c r="L119" s="15" t="str">
        <f>IF(E119="","",IFERROR(INDEX(Aliases!$B$5:$B$80,MATCH(1,INDEX(ISNUMBER(SEARCH(Aliases!$A$5:$A$80,E119))*(Aliases!$A$5:$A$80&lt;&gt;""),0),0)),"UNMATCHED"))</f>
        <v/>
      </c>
      <c r="M119" s="16"/>
      <c r="N119" s="16"/>
    </row>
    <row r="120" spans="1:14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6"/>
      <c r="L120" s="15" t="str">
        <f>IF(E120="","",IFERROR(INDEX(Aliases!$B$5:$B$80,MATCH(1,INDEX(ISNUMBER(SEARCH(Aliases!$A$5:$A$80,E120))*(Aliases!$A$5:$A$80&lt;&gt;""),0),0)),"UNMATCHED"))</f>
        <v/>
      </c>
      <c r="M120" s="16"/>
      <c r="N120" s="16"/>
    </row>
    <row r="121" spans="1:14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6"/>
      <c r="L121" s="15" t="str">
        <f>IF(E121="","",IFERROR(INDEX(Aliases!$B$5:$B$80,MATCH(1,INDEX(ISNUMBER(SEARCH(Aliases!$A$5:$A$80,E121))*(Aliases!$A$5:$A$80&lt;&gt;""),0),0)),"UNMATCHED"))</f>
        <v/>
      </c>
      <c r="M121" s="16"/>
      <c r="N121" s="16"/>
    </row>
    <row r="122" spans="1:14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6"/>
      <c r="L122" s="15" t="str">
        <f>IF(E122="","",IFERROR(INDEX(Aliases!$B$5:$B$80,MATCH(1,INDEX(ISNUMBER(SEARCH(Aliases!$A$5:$A$80,E122))*(Aliases!$A$5:$A$80&lt;&gt;""),0),0)),"UNMATCHED"))</f>
        <v/>
      </c>
      <c r="M122" s="16"/>
      <c r="N122" s="16"/>
    </row>
    <row r="123" spans="1:14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6"/>
      <c r="L123" s="15" t="str">
        <f>IF(E123="","",IFERROR(INDEX(Aliases!$B$5:$B$80,MATCH(1,INDEX(ISNUMBER(SEARCH(Aliases!$A$5:$A$80,E123))*(Aliases!$A$5:$A$80&lt;&gt;""),0),0)),"UNMATCHED"))</f>
        <v/>
      </c>
      <c r="M123" s="16"/>
      <c r="N123" s="16"/>
    </row>
    <row r="124" spans="1:14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6"/>
      <c r="L124" s="15" t="str">
        <f>IF(E124="","",IFERROR(INDEX(Aliases!$B$5:$B$80,MATCH(1,INDEX(ISNUMBER(SEARCH(Aliases!$A$5:$A$80,E124))*(Aliases!$A$5:$A$80&lt;&gt;""),0),0)),"UNMATCHED"))</f>
        <v/>
      </c>
      <c r="M124" s="16"/>
      <c r="N124" s="16"/>
    </row>
    <row r="125" spans="1:14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6"/>
      <c r="L125" s="15" t="str">
        <f>IF(E125="","",IFERROR(INDEX(Aliases!$B$5:$B$80,MATCH(1,INDEX(ISNUMBER(SEARCH(Aliases!$A$5:$A$80,E125))*(Aliases!$A$5:$A$80&lt;&gt;""),0),0)),"UNMATCHED"))</f>
        <v/>
      </c>
      <c r="M125" s="16"/>
      <c r="N125" s="16"/>
    </row>
    <row r="126" spans="1:14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6"/>
      <c r="L126" s="15" t="str">
        <f>IF(E126="","",IFERROR(INDEX(Aliases!$B$5:$B$80,MATCH(1,INDEX(ISNUMBER(SEARCH(Aliases!$A$5:$A$80,E126))*(Aliases!$A$5:$A$80&lt;&gt;""),0),0)),"UNMATCHED"))</f>
        <v/>
      </c>
      <c r="M126" s="16"/>
      <c r="N126" s="16"/>
    </row>
    <row r="127" spans="1:14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6"/>
      <c r="L127" s="15" t="str">
        <f>IF(E127="","",IFERROR(INDEX(Aliases!$B$5:$B$80,MATCH(1,INDEX(ISNUMBER(SEARCH(Aliases!$A$5:$A$80,E127))*(Aliases!$A$5:$A$80&lt;&gt;""),0),0)),"UNMATCHED"))</f>
        <v/>
      </c>
      <c r="M127" s="16"/>
      <c r="N127" s="16"/>
    </row>
    <row r="128" spans="1:14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6"/>
      <c r="L128" s="15" t="str">
        <f>IF(E128="","",IFERROR(INDEX(Aliases!$B$5:$B$80,MATCH(1,INDEX(ISNUMBER(SEARCH(Aliases!$A$5:$A$80,E128))*(Aliases!$A$5:$A$80&lt;&gt;""),0),0)),"UNMATCHED"))</f>
        <v/>
      </c>
      <c r="M128" s="16"/>
      <c r="N128" s="16"/>
    </row>
    <row r="129" spans="1:14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6"/>
      <c r="L129" s="15" t="str">
        <f>IF(E129="","",IFERROR(INDEX(Aliases!$B$5:$B$80,MATCH(1,INDEX(ISNUMBER(SEARCH(Aliases!$A$5:$A$80,E129))*(Aliases!$A$5:$A$80&lt;&gt;""),0),0)),"UNMATCHED"))</f>
        <v/>
      </c>
      <c r="M129" s="16"/>
      <c r="N129" s="16"/>
    </row>
    <row r="130" spans="1:14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6"/>
      <c r="L130" s="15" t="str">
        <f>IF(E130="","",IFERROR(INDEX(Aliases!$B$5:$B$80,MATCH(1,INDEX(ISNUMBER(SEARCH(Aliases!$A$5:$A$80,E130))*(Aliases!$A$5:$A$80&lt;&gt;""),0),0)),"UNMATCHED"))</f>
        <v/>
      </c>
      <c r="M130" s="16"/>
      <c r="N130" s="16"/>
    </row>
    <row r="131" spans="1:14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6"/>
      <c r="L131" s="15" t="str">
        <f>IF(E131="","",IFERROR(INDEX(Aliases!$B$5:$B$80,MATCH(1,INDEX(ISNUMBER(SEARCH(Aliases!$A$5:$A$80,E131))*(Aliases!$A$5:$A$80&lt;&gt;""),0),0)),"UNMATCHED"))</f>
        <v/>
      </c>
      <c r="M131" s="16"/>
      <c r="N131" s="16"/>
    </row>
    <row r="132" spans="1:14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6"/>
      <c r="L132" s="15" t="str">
        <f>IF(E132="","",IFERROR(INDEX(Aliases!$B$5:$B$80,MATCH(1,INDEX(ISNUMBER(SEARCH(Aliases!$A$5:$A$80,E132))*(Aliases!$A$5:$A$80&lt;&gt;""),0),0)),"UNMATCHED"))</f>
        <v/>
      </c>
      <c r="M132" s="16"/>
      <c r="N132" s="16"/>
    </row>
    <row r="133" spans="1:14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6"/>
      <c r="L133" s="15" t="str">
        <f>IF(E133="","",IFERROR(INDEX(Aliases!$B$5:$B$80,MATCH(1,INDEX(ISNUMBER(SEARCH(Aliases!$A$5:$A$80,E133))*(Aliases!$A$5:$A$80&lt;&gt;""),0),0)),"UNMATCHED"))</f>
        <v/>
      </c>
      <c r="M133" s="16"/>
      <c r="N133" s="16"/>
    </row>
    <row r="134" spans="1:14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6"/>
      <c r="L134" s="15" t="str">
        <f>IF(E134="","",IFERROR(INDEX(Aliases!$B$5:$B$80,MATCH(1,INDEX(ISNUMBER(SEARCH(Aliases!$A$5:$A$80,E134))*(Aliases!$A$5:$A$80&lt;&gt;""),0),0)),"UNMATCHED"))</f>
        <v/>
      </c>
      <c r="M134" s="16"/>
      <c r="N134" s="16"/>
    </row>
    <row r="135" spans="1:14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6"/>
      <c r="L135" s="15" t="str">
        <f>IF(E135="","",IFERROR(INDEX(Aliases!$B$5:$B$80,MATCH(1,INDEX(ISNUMBER(SEARCH(Aliases!$A$5:$A$80,E135))*(Aliases!$A$5:$A$80&lt;&gt;""),0),0)),"UNMATCHED"))</f>
        <v/>
      </c>
      <c r="M135" s="16"/>
      <c r="N135" s="16"/>
    </row>
    <row r="136" spans="1:14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6"/>
      <c r="L136" s="15" t="str">
        <f>IF(E136="","",IFERROR(INDEX(Aliases!$B$5:$B$80,MATCH(1,INDEX(ISNUMBER(SEARCH(Aliases!$A$5:$A$80,E136))*(Aliases!$A$5:$A$80&lt;&gt;""),0),0)),"UNMATCHED"))</f>
        <v/>
      </c>
      <c r="M136" s="16"/>
      <c r="N136" s="16"/>
    </row>
    <row r="137" spans="1:14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6"/>
      <c r="L137" s="15" t="str">
        <f>IF(E137="","",IFERROR(INDEX(Aliases!$B$5:$B$80,MATCH(1,INDEX(ISNUMBER(SEARCH(Aliases!$A$5:$A$80,E137))*(Aliases!$A$5:$A$80&lt;&gt;""),0),0)),"UNMATCHED"))</f>
        <v/>
      </c>
      <c r="M137" s="16"/>
      <c r="N137" s="16"/>
    </row>
    <row r="138" spans="1:14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6"/>
      <c r="L138" s="15" t="str">
        <f>IF(E138="","",IFERROR(INDEX(Aliases!$B$5:$B$80,MATCH(1,INDEX(ISNUMBER(SEARCH(Aliases!$A$5:$A$80,E138))*(Aliases!$A$5:$A$80&lt;&gt;""),0),0)),"UNMATCHED"))</f>
        <v/>
      </c>
      <c r="M138" s="16"/>
      <c r="N138" s="16"/>
    </row>
    <row r="139" spans="1:14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6"/>
      <c r="L139" s="15" t="str">
        <f>IF(E139="","",IFERROR(INDEX(Aliases!$B$5:$B$80,MATCH(1,INDEX(ISNUMBER(SEARCH(Aliases!$A$5:$A$80,E139))*(Aliases!$A$5:$A$80&lt;&gt;""),0),0)),"UNMATCHED"))</f>
        <v/>
      </c>
      <c r="M139" s="16"/>
      <c r="N139" s="16"/>
    </row>
    <row r="140" spans="1:14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6"/>
      <c r="L140" s="15" t="str">
        <f>IF(E140="","",IFERROR(INDEX(Aliases!$B$5:$B$80,MATCH(1,INDEX(ISNUMBER(SEARCH(Aliases!$A$5:$A$80,E140))*(Aliases!$A$5:$A$80&lt;&gt;""),0),0)),"UNMATCHED"))</f>
        <v/>
      </c>
      <c r="M140" s="16"/>
      <c r="N140" s="16"/>
    </row>
    <row r="141" spans="1:14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6"/>
      <c r="L141" s="15" t="str">
        <f>IF(E141="","",IFERROR(INDEX(Aliases!$B$5:$B$80,MATCH(1,INDEX(ISNUMBER(SEARCH(Aliases!$A$5:$A$80,E141))*(Aliases!$A$5:$A$80&lt;&gt;""),0),0)),"UNMATCHED"))</f>
        <v/>
      </c>
      <c r="M141" s="16"/>
      <c r="N141" s="16"/>
    </row>
    <row r="142" spans="1:14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6"/>
      <c r="L142" s="15" t="str">
        <f>IF(E142="","",IFERROR(INDEX(Aliases!$B$5:$B$80,MATCH(1,INDEX(ISNUMBER(SEARCH(Aliases!$A$5:$A$80,E142))*(Aliases!$A$5:$A$80&lt;&gt;""),0),0)),"UNMATCHED"))</f>
        <v/>
      </c>
      <c r="M142" s="16"/>
      <c r="N142" s="16"/>
    </row>
    <row r="143" spans="1:14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6"/>
      <c r="L143" s="15" t="str">
        <f>IF(E143="","",IFERROR(INDEX(Aliases!$B$5:$B$80,MATCH(1,INDEX(ISNUMBER(SEARCH(Aliases!$A$5:$A$80,E143))*(Aliases!$A$5:$A$80&lt;&gt;""),0),0)),"UNMATCHED"))</f>
        <v/>
      </c>
      <c r="M143" s="16"/>
      <c r="N143" s="16"/>
    </row>
    <row r="144" spans="1:14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6"/>
      <c r="L144" s="15" t="str">
        <f>IF(E144="","",IFERROR(INDEX(Aliases!$B$5:$B$80,MATCH(1,INDEX(ISNUMBER(SEARCH(Aliases!$A$5:$A$80,E144))*(Aliases!$A$5:$A$80&lt;&gt;""),0),0)),"UNMATCHED"))</f>
        <v/>
      </c>
      <c r="M144" s="16"/>
      <c r="N144" s="16"/>
    </row>
    <row r="145" spans="1:14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6"/>
      <c r="L145" s="15" t="str">
        <f>IF(E145="","",IFERROR(INDEX(Aliases!$B$5:$B$80,MATCH(1,INDEX(ISNUMBER(SEARCH(Aliases!$A$5:$A$80,E145))*(Aliases!$A$5:$A$80&lt;&gt;""),0),0)),"UNMATCHED"))</f>
        <v/>
      </c>
      <c r="M145" s="16"/>
      <c r="N145" s="16"/>
    </row>
    <row r="146" spans="1:14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6"/>
      <c r="L146" s="15" t="str">
        <f>IF(E146="","",IFERROR(INDEX(Aliases!$B$5:$B$80,MATCH(1,INDEX(ISNUMBER(SEARCH(Aliases!$A$5:$A$80,E146))*(Aliases!$A$5:$A$80&lt;&gt;""),0),0)),"UNMATCHED"))</f>
        <v/>
      </c>
      <c r="M146" s="16"/>
      <c r="N146" s="16"/>
    </row>
    <row r="147" spans="1:14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6"/>
      <c r="L147" s="15" t="str">
        <f>IF(E147="","",IFERROR(INDEX(Aliases!$B$5:$B$80,MATCH(1,INDEX(ISNUMBER(SEARCH(Aliases!$A$5:$A$80,E147))*(Aliases!$A$5:$A$80&lt;&gt;""),0),0)),"UNMATCHED"))</f>
        <v/>
      </c>
      <c r="M147" s="16"/>
      <c r="N147" s="16"/>
    </row>
    <row r="148" spans="1:14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6"/>
      <c r="L148" s="15" t="str">
        <f>IF(E148="","",IFERROR(INDEX(Aliases!$B$5:$B$80,MATCH(1,INDEX(ISNUMBER(SEARCH(Aliases!$A$5:$A$80,E148))*(Aliases!$A$5:$A$80&lt;&gt;""),0),0)),"UNMATCHED"))</f>
        <v/>
      </c>
      <c r="M148" s="16"/>
      <c r="N148" s="16"/>
    </row>
    <row r="149" spans="1:14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6"/>
      <c r="L149" s="15" t="str">
        <f>IF(E149="","",IFERROR(INDEX(Aliases!$B$5:$B$80,MATCH(1,INDEX(ISNUMBER(SEARCH(Aliases!$A$5:$A$80,E149))*(Aliases!$A$5:$A$80&lt;&gt;""),0),0)),"UNMATCHED"))</f>
        <v/>
      </c>
      <c r="M149" s="16"/>
      <c r="N149" s="16"/>
    </row>
    <row r="150" spans="1:14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6"/>
      <c r="L150" s="15" t="str">
        <f>IF(E150="","",IFERROR(INDEX(Aliases!$B$5:$B$80,MATCH(1,INDEX(ISNUMBER(SEARCH(Aliases!$A$5:$A$80,E150))*(Aliases!$A$5:$A$80&lt;&gt;""),0),0)),"UNMATCHED"))</f>
        <v/>
      </c>
      <c r="M150" s="16"/>
      <c r="N150" s="16"/>
    </row>
    <row r="151" spans="1:14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6"/>
      <c r="L151" s="15" t="str">
        <f>IF(E151="","",IFERROR(INDEX(Aliases!$B$5:$B$80,MATCH(1,INDEX(ISNUMBER(SEARCH(Aliases!$A$5:$A$80,E151))*(Aliases!$A$5:$A$80&lt;&gt;""),0),0)),"UNMATCHED"))</f>
        <v/>
      </c>
      <c r="M151" s="16"/>
      <c r="N151" s="16"/>
    </row>
    <row r="152" spans="1:14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6"/>
      <c r="L152" s="15" t="str">
        <f>IF(E152="","",IFERROR(INDEX(Aliases!$B$5:$B$80,MATCH(1,INDEX(ISNUMBER(SEARCH(Aliases!$A$5:$A$80,E152))*(Aliases!$A$5:$A$80&lt;&gt;""),0),0)),"UNMATCHED"))</f>
        <v/>
      </c>
      <c r="M152" s="16"/>
      <c r="N152" s="16"/>
    </row>
    <row r="153" spans="1:14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6"/>
      <c r="L153" s="15" t="str">
        <f>IF(E153="","",IFERROR(INDEX(Aliases!$B$5:$B$80,MATCH(1,INDEX(ISNUMBER(SEARCH(Aliases!$A$5:$A$80,E153))*(Aliases!$A$5:$A$80&lt;&gt;""),0),0)),"UNMATCHED"))</f>
        <v/>
      </c>
      <c r="M153" s="16"/>
      <c r="N153" s="16"/>
    </row>
    <row r="154" spans="1:14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6"/>
      <c r="L154" s="15" t="str">
        <f>IF(E154="","",IFERROR(INDEX(Aliases!$B$5:$B$80,MATCH(1,INDEX(ISNUMBER(SEARCH(Aliases!$A$5:$A$80,E154))*(Aliases!$A$5:$A$80&lt;&gt;""),0),0)),"UNMATCHED"))</f>
        <v/>
      </c>
      <c r="M154" s="16"/>
      <c r="N154" s="16"/>
    </row>
    <row r="155" spans="1:14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6"/>
      <c r="L155" s="15" t="str">
        <f>IF(E155="","",IFERROR(INDEX(Aliases!$B$5:$B$80,MATCH(1,INDEX(ISNUMBER(SEARCH(Aliases!$A$5:$A$80,E155))*(Aliases!$A$5:$A$80&lt;&gt;""),0),0)),"UNMATCHED"))</f>
        <v/>
      </c>
      <c r="M155" s="16"/>
      <c r="N155" s="16"/>
    </row>
    <row r="156" spans="1:14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6"/>
      <c r="L156" s="15" t="str">
        <f>IF(E156="","",IFERROR(INDEX(Aliases!$B$5:$B$80,MATCH(1,INDEX(ISNUMBER(SEARCH(Aliases!$A$5:$A$80,E156))*(Aliases!$A$5:$A$80&lt;&gt;""),0),0)),"UNMATCHED"))</f>
        <v/>
      </c>
      <c r="M156" s="16"/>
      <c r="N156" s="16"/>
    </row>
    <row r="157" spans="1:14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6"/>
      <c r="L157" s="15" t="str">
        <f>IF(E157="","",IFERROR(INDEX(Aliases!$B$5:$B$80,MATCH(1,INDEX(ISNUMBER(SEARCH(Aliases!$A$5:$A$80,E157))*(Aliases!$A$5:$A$80&lt;&gt;""),0),0)),"UNMATCHED"))</f>
        <v/>
      </c>
      <c r="M157" s="16"/>
      <c r="N157" s="16"/>
    </row>
    <row r="158" spans="1:14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6"/>
      <c r="L158" s="15" t="str">
        <f>IF(E158="","",IFERROR(INDEX(Aliases!$B$5:$B$80,MATCH(1,INDEX(ISNUMBER(SEARCH(Aliases!$A$5:$A$80,E158))*(Aliases!$A$5:$A$80&lt;&gt;""),0),0)),"UNMATCHED"))</f>
        <v/>
      </c>
      <c r="M158" s="16"/>
      <c r="N158" s="16"/>
    </row>
    <row r="159" spans="1:14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6"/>
      <c r="L159" s="15" t="str">
        <f>IF(E159="","",IFERROR(INDEX(Aliases!$B$5:$B$80,MATCH(1,INDEX(ISNUMBER(SEARCH(Aliases!$A$5:$A$80,E159))*(Aliases!$A$5:$A$80&lt;&gt;""),0),0)),"UNMATCHED"))</f>
        <v/>
      </c>
      <c r="M159" s="16"/>
      <c r="N159" s="16"/>
    </row>
    <row r="160" spans="1:14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6"/>
      <c r="L160" s="15" t="str">
        <f>IF(E160="","",IFERROR(INDEX(Aliases!$B$5:$B$80,MATCH(1,INDEX(ISNUMBER(SEARCH(Aliases!$A$5:$A$80,E160))*(Aliases!$A$5:$A$80&lt;&gt;""),0),0)),"UNMATCHED"))</f>
        <v/>
      </c>
      <c r="M160" s="16"/>
      <c r="N160" s="16"/>
    </row>
    <row r="161" spans="1:14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6"/>
      <c r="L161" s="15" t="str">
        <f>IF(E161="","",IFERROR(INDEX(Aliases!$B$5:$B$80,MATCH(1,INDEX(ISNUMBER(SEARCH(Aliases!$A$5:$A$80,E161))*(Aliases!$A$5:$A$80&lt;&gt;""),0),0)),"UNMATCHED"))</f>
        <v/>
      </c>
      <c r="M161" s="16"/>
      <c r="N161" s="16"/>
    </row>
    <row r="162" spans="1:14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6"/>
      <c r="L162" s="15" t="str">
        <f>IF(E162="","",IFERROR(INDEX(Aliases!$B$5:$B$80,MATCH(1,INDEX(ISNUMBER(SEARCH(Aliases!$A$5:$A$80,E162))*(Aliases!$A$5:$A$80&lt;&gt;""),0),0)),"UNMATCHED"))</f>
        <v/>
      </c>
      <c r="M162" s="16"/>
      <c r="N162" s="16"/>
    </row>
    <row r="163" spans="1:14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6"/>
      <c r="L163" s="15" t="str">
        <f>IF(E163="","",IFERROR(INDEX(Aliases!$B$5:$B$80,MATCH(1,INDEX(ISNUMBER(SEARCH(Aliases!$A$5:$A$80,E163))*(Aliases!$A$5:$A$80&lt;&gt;""),0),0)),"UNMATCHED"))</f>
        <v/>
      </c>
      <c r="M163" s="16"/>
      <c r="N163" s="16"/>
    </row>
    <row r="164" spans="1:14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6"/>
      <c r="L164" s="15" t="str">
        <f>IF(E164="","",IFERROR(INDEX(Aliases!$B$5:$B$80,MATCH(1,INDEX(ISNUMBER(SEARCH(Aliases!$A$5:$A$80,E164))*(Aliases!$A$5:$A$80&lt;&gt;""),0),0)),"UNMATCHED"))</f>
        <v/>
      </c>
      <c r="M164" s="16"/>
      <c r="N164" s="16"/>
    </row>
    <row r="165" spans="1:14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6"/>
      <c r="L165" s="15" t="str">
        <f>IF(E165="","",IFERROR(INDEX(Aliases!$B$5:$B$80,MATCH(1,INDEX(ISNUMBER(SEARCH(Aliases!$A$5:$A$80,E165))*(Aliases!$A$5:$A$80&lt;&gt;""),0),0)),"UNMATCHED"))</f>
        <v/>
      </c>
      <c r="M165" s="16"/>
      <c r="N165" s="16"/>
    </row>
    <row r="166" spans="1:14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6"/>
      <c r="L166" s="15" t="str">
        <f>IF(E166="","",IFERROR(INDEX(Aliases!$B$5:$B$80,MATCH(1,INDEX(ISNUMBER(SEARCH(Aliases!$A$5:$A$80,E166))*(Aliases!$A$5:$A$80&lt;&gt;""),0),0)),"UNMATCHED"))</f>
        <v/>
      </c>
      <c r="M166" s="16"/>
      <c r="N166" s="16"/>
    </row>
    <row r="167" spans="1:14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6"/>
      <c r="L167" s="15" t="str">
        <f>IF(E167="","",IFERROR(INDEX(Aliases!$B$5:$B$80,MATCH(1,INDEX(ISNUMBER(SEARCH(Aliases!$A$5:$A$80,E167))*(Aliases!$A$5:$A$80&lt;&gt;""),0),0)),"UNMATCHED"))</f>
        <v/>
      </c>
      <c r="M167" s="16"/>
      <c r="N167" s="16"/>
    </row>
    <row r="168" spans="1:14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6"/>
      <c r="L168" s="15" t="str">
        <f>IF(E168="","",IFERROR(INDEX(Aliases!$B$5:$B$80,MATCH(1,INDEX(ISNUMBER(SEARCH(Aliases!$A$5:$A$80,E168))*(Aliases!$A$5:$A$80&lt;&gt;""),0),0)),"UNMATCHED"))</f>
        <v/>
      </c>
      <c r="M168" s="16"/>
      <c r="N168" s="16"/>
    </row>
    <row r="169" spans="1:14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6"/>
      <c r="L169" s="15" t="str">
        <f>IF(E169="","",IFERROR(INDEX(Aliases!$B$5:$B$80,MATCH(1,INDEX(ISNUMBER(SEARCH(Aliases!$A$5:$A$80,E169))*(Aliases!$A$5:$A$80&lt;&gt;""),0),0)),"UNMATCHED"))</f>
        <v/>
      </c>
      <c r="M169" s="16"/>
      <c r="N169" s="16"/>
    </row>
    <row r="170" spans="1:14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6"/>
      <c r="L170" s="15" t="str">
        <f>IF(E170="","",IFERROR(INDEX(Aliases!$B$5:$B$80,MATCH(1,INDEX(ISNUMBER(SEARCH(Aliases!$A$5:$A$80,E170))*(Aliases!$A$5:$A$80&lt;&gt;""),0),0)),"UNMATCHED"))</f>
        <v/>
      </c>
      <c r="M170" s="16"/>
      <c r="N170" s="16"/>
    </row>
    <row r="171" spans="1:14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6"/>
      <c r="L171" s="15" t="str">
        <f>IF(E171="","",IFERROR(INDEX(Aliases!$B$5:$B$80,MATCH(1,INDEX(ISNUMBER(SEARCH(Aliases!$A$5:$A$80,E171))*(Aliases!$A$5:$A$80&lt;&gt;""),0),0)),"UNMATCHED"))</f>
        <v/>
      </c>
      <c r="M171" s="16"/>
      <c r="N171" s="16"/>
    </row>
    <row r="172" spans="1:14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6"/>
      <c r="L172" s="15" t="str">
        <f>IF(E172="","",IFERROR(INDEX(Aliases!$B$5:$B$80,MATCH(1,INDEX(ISNUMBER(SEARCH(Aliases!$A$5:$A$80,E172))*(Aliases!$A$5:$A$80&lt;&gt;""),0),0)),"UNMATCHED"))</f>
        <v/>
      </c>
      <c r="M172" s="16"/>
      <c r="N172" s="16"/>
    </row>
    <row r="173" spans="1:14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6"/>
      <c r="L173" s="15" t="str">
        <f>IF(E173="","",IFERROR(INDEX(Aliases!$B$5:$B$80,MATCH(1,INDEX(ISNUMBER(SEARCH(Aliases!$A$5:$A$80,E173))*(Aliases!$A$5:$A$80&lt;&gt;""),0),0)),"UNMATCHED"))</f>
        <v/>
      </c>
      <c r="M173" s="16"/>
      <c r="N173" s="16"/>
    </row>
    <row r="174" spans="1:14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6"/>
      <c r="L174" s="15" t="str">
        <f>IF(E174="","",IFERROR(INDEX(Aliases!$B$5:$B$80,MATCH(1,INDEX(ISNUMBER(SEARCH(Aliases!$A$5:$A$80,E174))*(Aliases!$A$5:$A$80&lt;&gt;""),0),0)),"UNMATCHED"))</f>
        <v/>
      </c>
      <c r="M174" s="16"/>
      <c r="N174" s="16"/>
    </row>
    <row r="175" spans="1:14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6"/>
      <c r="L175" s="15" t="str">
        <f>IF(E175="","",IFERROR(INDEX(Aliases!$B$5:$B$80,MATCH(1,INDEX(ISNUMBER(SEARCH(Aliases!$A$5:$A$80,E175))*(Aliases!$A$5:$A$80&lt;&gt;""),0),0)),"UNMATCHED"))</f>
        <v/>
      </c>
      <c r="M175" s="16"/>
      <c r="N175" s="16"/>
    </row>
    <row r="176" spans="1:14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6"/>
      <c r="L176" s="15" t="str">
        <f>IF(E176="","",IFERROR(INDEX(Aliases!$B$5:$B$80,MATCH(1,INDEX(ISNUMBER(SEARCH(Aliases!$A$5:$A$80,E176))*(Aliases!$A$5:$A$80&lt;&gt;""),0),0)),"UNMATCHED"))</f>
        <v/>
      </c>
      <c r="M176" s="16"/>
      <c r="N176" s="16"/>
    </row>
    <row r="177" spans="1:14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6"/>
      <c r="L177" s="15" t="str">
        <f>IF(E177="","",IFERROR(INDEX(Aliases!$B$5:$B$80,MATCH(1,INDEX(ISNUMBER(SEARCH(Aliases!$A$5:$A$80,E177))*(Aliases!$A$5:$A$80&lt;&gt;""),0),0)),"UNMATCHED"))</f>
        <v/>
      </c>
      <c r="M177" s="16"/>
      <c r="N177" s="16"/>
    </row>
    <row r="178" spans="1:14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6"/>
      <c r="L178" s="15" t="str">
        <f>IF(E178="","",IFERROR(INDEX(Aliases!$B$5:$B$80,MATCH(1,INDEX(ISNUMBER(SEARCH(Aliases!$A$5:$A$80,E178))*(Aliases!$A$5:$A$80&lt;&gt;""),0),0)),"UNMATCHED"))</f>
        <v/>
      </c>
      <c r="M178" s="16"/>
      <c r="N178" s="16"/>
    </row>
    <row r="179" spans="1:14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6"/>
      <c r="L179" s="15" t="str">
        <f>IF(E179="","",IFERROR(INDEX(Aliases!$B$5:$B$80,MATCH(1,INDEX(ISNUMBER(SEARCH(Aliases!$A$5:$A$80,E179))*(Aliases!$A$5:$A$80&lt;&gt;""),0),0)),"UNMATCHED"))</f>
        <v/>
      </c>
      <c r="M179" s="16"/>
      <c r="N179" s="16"/>
    </row>
    <row r="180" spans="1:14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6"/>
      <c r="L180" s="15" t="str">
        <f>IF(E180="","",IFERROR(INDEX(Aliases!$B$5:$B$80,MATCH(1,INDEX(ISNUMBER(SEARCH(Aliases!$A$5:$A$80,E180))*(Aliases!$A$5:$A$80&lt;&gt;""),0),0)),"UNMATCHED"))</f>
        <v/>
      </c>
      <c r="M180" s="16"/>
      <c r="N180" s="16"/>
    </row>
    <row r="181" spans="1:14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6"/>
      <c r="L181" s="15" t="str">
        <f>IF(E181="","",IFERROR(INDEX(Aliases!$B$5:$B$80,MATCH(1,INDEX(ISNUMBER(SEARCH(Aliases!$A$5:$A$80,E181))*(Aliases!$A$5:$A$80&lt;&gt;""),0),0)),"UNMATCHED"))</f>
        <v/>
      </c>
      <c r="M181" s="16"/>
      <c r="N181" s="16"/>
    </row>
    <row r="182" spans="1:14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6"/>
      <c r="L182" s="15" t="str">
        <f>IF(E182="","",IFERROR(INDEX(Aliases!$B$5:$B$80,MATCH(1,INDEX(ISNUMBER(SEARCH(Aliases!$A$5:$A$80,E182))*(Aliases!$A$5:$A$80&lt;&gt;""),0),0)),"UNMATCHED"))</f>
        <v/>
      </c>
      <c r="M182" s="16"/>
      <c r="N182" s="16"/>
    </row>
    <row r="183" spans="1:14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6"/>
      <c r="L183" s="15" t="str">
        <f>IF(E183="","",IFERROR(INDEX(Aliases!$B$5:$B$80,MATCH(1,INDEX(ISNUMBER(SEARCH(Aliases!$A$5:$A$80,E183))*(Aliases!$A$5:$A$80&lt;&gt;""),0),0)),"UNMATCHED"))</f>
        <v/>
      </c>
      <c r="M183" s="16"/>
      <c r="N183" s="16"/>
    </row>
    <row r="184" spans="1:14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6"/>
      <c r="L184" s="15" t="str">
        <f>IF(E184="","",IFERROR(INDEX(Aliases!$B$5:$B$80,MATCH(1,INDEX(ISNUMBER(SEARCH(Aliases!$A$5:$A$80,E184))*(Aliases!$A$5:$A$80&lt;&gt;""),0),0)),"UNMATCHED"))</f>
        <v/>
      </c>
      <c r="M184" s="16"/>
      <c r="N184" s="16"/>
    </row>
    <row r="185" spans="1:14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6"/>
      <c r="L185" s="15" t="str">
        <f>IF(E185="","",IFERROR(INDEX(Aliases!$B$5:$B$80,MATCH(1,INDEX(ISNUMBER(SEARCH(Aliases!$A$5:$A$80,E185))*(Aliases!$A$5:$A$80&lt;&gt;""),0),0)),"UNMATCHED"))</f>
        <v/>
      </c>
      <c r="M185" s="16"/>
      <c r="N185" s="16"/>
    </row>
    <row r="186" spans="1:14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6"/>
      <c r="L186" s="15" t="str">
        <f>IF(E186="","",IFERROR(INDEX(Aliases!$B$5:$B$80,MATCH(1,INDEX(ISNUMBER(SEARCH(Aliases!$A$5:$A$80,E186))*(Aliases!$A$5:$A$80&lt;&gt;""),0),0)),"UNMATCHED"))</f>
        <v/>
      </c>
      <c r="M186" s="16"/>
      <c r="N186" s="16"/>
    </row>
    <row r="187" spans="1:14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6"/>
      <c r="L187" s="15" t="str">
        <f>IF(E187="","",IFERROR(INDEX(Aliases!$B$5:$B$80,MATCH(1,INDEX(ISNUMBER(SEARCH(Aliases!$A$5:$A$80,E187))*(Aliases!$A$5:$A$80&lt;&gt;""),0),0)),"UNMATCHED"))</f>
        <v/>
      </c>
      <c r="M187" s="16"/>
      <c r="N187" s="16"/>
    </row>
    <row r="188" spans="1:14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6"/>
      <c r="L188" s="15" t="str">
        <f>IF(E188="","",IFERROR(INDEX(Aliases!$B$5:$B$80,MATCH(1,INDEX(ISNUMBER(SEARCH(Aliases!$A$5:$A$80,E188))*(Aliases!$A$5:$A$80&lt;&gt;""),0),0)),"UNMATCHED"))</f>
        <v/>
      </c>
      <c r="M188" s="16"/>
      <c r="N188" s="16"/>
    </row>
    <row r="189" spans="1:14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6"/>
      <c r="L189" s="15" t="str">
        <f>IF(E189="","",IFERROR(INDEX(Aliases!$B$5:$B$80,MATCH(1,INDEX(ISNUMBER(SEARCH(Aliases!$A$5:$A$80,E189))*(Aliases!$A$5:$A$80&lt;&gt;""),0),0)),"UNMATCHED"))</f>
        <v/>
      </c>
      <c r="M189" s="16"/>
      <c r="N189" s="16"/>
    </row>
    <row r="190" spans="1:14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6"/>
      <c r="L190" s="15" t="str">
        <f>IF(E190="","",IFERROR(INDEX(Aliases!$B$5:$B$80,MATCH(1,INDEX(ISNUMBER(SEARCH(Aliases!$A$5:$A$80,E190))*(Aliases!$A$5:$A$80&lt;&gt;""),0),0)),"UNMATCHED"))</f>
        <v/>
      </c>
      <c r="M190" s="16"/>
      <c r="N190" s="16"/>
    </row>
    <row r="191" spans="1:14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6"/>
      <c r="L191" s="15" t="str">
        <f>IF(E191="","",IFERROR(INDEX(Aliases!$B$5:$B$80,MATCH(1,INDEX(ISNUMBER(SEARCH(Aliases!$A$5:$A$80,E191))*(Aliases!$A$5:$A$80&lt;&gt;""),0),0)),"UNMATCHED"))</f>
        <v/>
      </c>
      <c r="M191" s="16"/>
      <c r="N191" s="16"/>
    </row>
    <row r="192" spans="1:14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6"/>
      <c r="L192" s="15" t="str">
        <f>IF(E192="","",IFERROR(INDEX(Aliases!$B$5:$B$80,MATCH(1,INDEX(ISNUMBER(SEARCH(Aliases!$A$5:$A$80,E192))*(Aliases!$A$5:$A$80&lt;&gt;""),0),0)),"UNMATCHED"))</f>
        <v/>
      </c>
      <c r="M192" s="16"/>
      <c r="N192" s="16"/>
    </row>
    <row r="193" spans="1:14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6"/>
      <c r="L193" s="15" t="str">
        <f>IF(E193="","",IFERROR(INDEX(Aliases!$B$5:$B$80,MATCH(1,INDEX(ISNUMBER(SEARCH(Aliases!$A$5:$A$80,E193))*(Aliases!$A$5:$A$80&lt;&gt;""),0),0)),"UNMATCHED"))</f>
        <v/>
      </c>
      <c r="M193" s="16"/>
      <c r="N193" s="16"/>
    </row>
    <row r="194" spans="1:14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6"/>
      <c r="L194" s="15" t="str">
        <f>IF(E194="","",IFERROR(INDEX(Aliases!$B$5:$B$80,MATCH(1,INDEX(ISNUMBER(SEARCH(Aliases!$A$5:$A$80,E194))*(Aliases!$A$5:$A$80&lt;&gt;""),0),0)),"UNMATCHED"))</f>
        <v/>
      </c>
      <c r="M194" s="16"/>
      <c r="N194" s="16"/>
    </row>
    <row r="195" spans="1:14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6"/>
      <c r="L195" s="15" t="str">
        <f>IF(E195="","",IFERROR(INDEX(Aliases!$B$5:$B$80,MATCH(1,INDEX(ISNUMBER(SEARCH(Aliases!$A$5:$A$80,E195))*(Aliases!$A$5:$A$80&lt;&gt;""),0),0)),"UNMATCHED"))</f>
        <v/>
      </c>
      <c r="M195" s="16"/>
      <c r="N195" s="16"/>
    </row>
    <row r="196" spans="1:14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6"/>
      <c r="L196" s="15" t="str">
        <f>IF(E196="","",IFERROR(INDEX(Aliases!$B$5:$B$80,MATCH(1,INDEX(ISNUMBER(SEARCH(Aliases!$A$5:$A$80,E196))*(Aliases!$A$5:$A$80&lt;&gt;""),0),0)),"UNMATCHED"))</f>
        <v/>
      </c>
      <c r="M196" s="16"/>
      <c r="N196" s="16"/>
    </row>
    <row r="197" spans="1:14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6"/>
      <c r="L197" s="15" t="str">
        <f>IF(E197="","",IFERROR(INDEX(Aliases!$B$5:$B$80,MATCH(1,INDEX(ISNUMBER(SEARCH(Aliases!$A$5:$A$80,E197))*(Aliases!$A$5:$A$80&lt;&gt;""),0),0)),"UNMATCHED"))</f>
        <v/>
      </c>
      <c r="M197" s="16"/>
      <c r="N197" s="16"/>
    </row>
    <row r="198" spans="1:14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6"/>
      <c r="L198" s="15" t="str">
        <f>IF(E198="","",IFERROR(INDEX(Aliases!$B$5:$B$80,MATCH(1,INDEX(ISNUMBER(SEARCH(Aliases!$A$5:$A$80,E198))*(Aliases!$A$5:$A$80&lt;&gt;""),0),0)),"UNMATCHED"))</f>
        <v/>
      </c>
      <c r="M198" s="16"/>
      <c r="N198" s="16"/>
    </row>
    <row r="199" spans="1:14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6"/>
      <c r="L199" s="15" t="str">
        <f>IF(E199="","",IFERROR(INDEX(Aliases!$B$5:$B$80,MATCH(1,INDEX(ISNUMBER(SEARCH(Aliases!$A$5:$A$80,E199))*(Aliases!$A$5:$A$80&lt;&gt;""),0),0)),"UNMATCHED"))</f>
        <v/>
      </c>
      <c r="M199" s="16"/>
      <c r="N199" s="16"/>
    </row>
    <row r="200" spans="1:14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6"/>
      <c r="L200" s="15" t="str">
        <f>IF(E200="","",IFERROR(INDEX(Aliases!$B$5:$B$80,MATCH(1,INDEX(ISNUMBER(SEARCH(Aliases!$A$5:$A$80,E200))*(Aliases!$A$5:$A$80&lt;&gt;""),0),0)),"UNMATCHED"))</f>
        <v/>
      </c>
      <c r="M200" s="16"/>
      <c r="N200" s="16"/>
    </row>
    <row r="201" spans="1:14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6"/>
      <c r="L201" s="15" t="str">
        <f>IF(E201="","",IFERROR(INDEX(Aliases!$B$5:$B$80,MATCH(1,INDEX(ISNUMBER(SEARCH(Aliases!$A$5:$A$80,E201))*(Aliases!$A$5:$A$80&lt;&gt;""),0),0)),"UNMATCHED"))</f>
        <v/>
      </c>
      <c r="M201" s="16"/>
      <c r="N201" s="16"/>
    </row>
    <row r="202" spans="1:14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6"/>
      <c r="L202" s="15" t="str">
        <f>IF(E202="","",IFERROR(INDEX(Aliases!$B$5:$B$80,MATCH(1,INDEX(ISNUMBER(SEARCH(Aliases!$A$5:$A$80,E202))*(Aliases!$A$5:$A$80&lt;&gt;""),0),0)),"UNMATCHED"))</f>
        <v/>
      </c>
      <c r="M202" s="16"/>
      <c r="N202" s="16"/>
    </row>
    <row r="203" spans="1:14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6"/>
      <c r="L203" s="15" t="str">
        <f>IF(E203="","",IFERROR(INDEX(Aliases!$B$5:$B$80,MATCH(1,INDEX(ISNUMBER(SEARCH(Aliases!$A$5:$A$80,E203))*(Aliases!$A$5:$A$80&lt;&gt;""),0),0)),"UNMATCHED"))</f>
        <v/>
      </c>
      <c r="M203" s="16"/>
      <c r="N203" s="16"/>
    </row>
    <row r="204" spans="1:14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6"/>
      <c r="L204" s="15" t="str">
        <f>IF(E204="","",IFERROR(INDEX(Aliases!$B$5:$B$80,MATCH(1,INDEX(ISNUMBER(SEARCH(Aliases!$A$5:$A$80,E204))*(Aliases!$A$5:$A$80&lt;&gt;""),0),0)),"UNMATCHED"))</f>
        <v/>
      </c>
      <c r="M204" s="16"/>
      <c r="N204" s="16"/>
    </row>
    <row r="205" spans="1:14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6"/>
      <c r="L205" s="15" t="str">
        <f>IF(E205="","",IFERROR(INDEX(Aliases!$B$5:$B$80,MATCH(1,INDEX(ISNUMBER(SEARCH(Aliases!$A$5:$A$80,E205))*(Aliases!$A$5:$A$80&lt;&gt;""),0),0)),"UNMATCHED"))</f>
        <v/>
      </c>
      <c r="M205" s="16"/>
      <c r="N205" s="16"/>
    </row>
    <row r="206" spans="1:14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6"/>
      <c r="L206" s="15" t="str">
        <f>IF(E206="","",IFERROR(INDEX(Aliases!$B$5:$B$80,MATCH(1,INDEX(ISNUMBER(SEARCH(Aliases!$A$5:$A$80,E206))*(Aliases!$A$5:$A$80&lt;&gt;""),0),0)),"UNMATCHED"))</f>
        <v/>
      </c>
      <c r="M206" s="16"/>
      <c r="N206" s="16"/>
    </row>
    <row r="207" spans="1:14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6"/>
      <c r="L207" s="15" t="str">
        <f>IF(E207="","",IFERROR(INDEX(Aliases!$B$5:$B$80,MATCH(1,INDEX(ISNUMBER(SEARCH(Aliases!$A$5:$A$80,E207))*(Aliases!$A$5:$A$80&lt;&gt;""),0),0)),"UNMATCHED"))</f>
        <v/>
      </c>
      <c r="M207" s="16"/>
      <c r="N207" s="16"/>
    </row>
    <row r="208" spans="1:14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6"/>
      <c r="L208" s="15" t="str">
        <f>IF(E208="","",IFERROR(INDEX(Aliases!$B$5:$B$80,MATCH(1,INDEX(ISNUMBER(SEARCH(Aliases!$A$5:$A$80,E208))*(Aliases!$A$5:$A$80&lt;&gt;""),0),0)),"UNMATCHED"))</f>
        <v/>
      </c>
      <c r="M208" s="16"/>
      <c r="N208" s="16"/>
    </row>
    <row r="209" spans="1:14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6"/>
      <c r="L209" s="15" t="str">
        <f>IF(E209="","",IFERROR(INDEX(Aliases!$B$5:$B$80,MATCH(1,INDEX(ISNUMBER(SEARCH(Aliases!$A$5:$A$80,E209))*(Aliases!$A$5:$A$80&lt;&gt;""),0),0)),"UNMATCHED"))</f>
        <v/>
      </c>
      <c r="M209" s="16"/>
      <c r="N209" s="16"/>
    </row>
    <row r="210" spans="1:14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6"/>
      <c r="L210" s="15" t="str">
        <f>IF(E210="","",IFERROR(INDEX(Aliases!$B$5:$B$80,MATCH(1,INDEX(ISNUMBER(SEARCH(Aliases!$A$5:$A$80,E210))*(Aliases!$A$5:$A$80&lt;&gt;""),0),0)),"UNMATCHED"))</f>
        <v/>
      </c>
      <c r="M210" s="16"/>
      <c r="N210" s="16"/>
    </row>
    <row r="211" spans="1:14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6"/>
      <c r="L211" s="15" t="str">
        <f>IF(E211="","",IFERROR(INDEX(Aliases!$B$5:$B$80,MATCH(1,INDEX(ISNUMBER(SEARCH(Aliases!$A$5:$A$80,E211))*(Aliases!$A$5:$A$80&lt;&gt;""),0),0)),"UNMATCHED"))</f>
        <v/>
      </c>
      <c r="M211" s="16"/>
      <c r="N211" s="16"/>
    </row>
    <row r="212" spans="1:14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6"/>
      <c r="L212" s="15" t="str">
        <f>IF(E212="","",IFERROR(INDEX(Aliases!$B$5:$B$80,MATCH(1,INDEX(ISNUMBER(SEARCH(Aliases!$A$5:$A$80,E212))*(Aliases!$A$5:$A$80&lt;&gt;""),0),0)),"UNMATCHED"))</f>
        <v/>
      </c>
      <c r="M212" s="16"/>
      <c r="N212" s="16"/>
    </row>
    <row r="213" spans="1:14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6"/>
      <c r="L213" s="15" t="str">
        <f>IF(E213="","",IFERROR(INDEX(Aliases!$B$5:$B$80,MATCH(1,INDEX(ISNUMBER(SEARCH(Aliases!$A$5:$A$80,E213))*(Aliases!$A$5:$A$80&lt;&gt;""),0),0)),"UNMATCHED"))</f>
        <v/>
      </c>
      <c r="M213" s="16"/>
      <c r="N213" s="16"/>
    </row>
    <row r="214" spans="1:14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6"/>
      <c r="L214" s="15" t="str">
        <f>IF(E214="","",IFERROR(INDEX(Aliases!$B$5:$B$80,MATCH(1,INDEX(ISNUMBER(SEARCH(Aliases!$A$5:$A$80,E214))*(Aliases!$A$5:$A$80&lt;&gt;""),0),0)),"UNMATCHED"))</f>
        <v/>
      </c>
      <c r="M214" s="16"/>
      <c r="N214" s="16"/>
    </row>
    <row r="215" spans="1:14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6"/>
      <c r="L215" s="15" t="str">
        <f>IF(E215="","",IFERROR(INDEX(Aliases!$B$5:$B$80,MATCH(1,INDEX(ISNUMBER(SEARCH(Aliases!$A$5:$A$80,E215))*(Aliases!$A$5:$A$80&lt;&gt;""),0),0)),"UNMATCHED"))</f>
        <v/>
      </c>
      <c r="M215" s="16"/>
      <c r="N215" s="16"/>
    </row>
    <row r="216" spans="1:14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6"/>
      <c r="L216" s="15" t="str">
        <f>IF(E216="","",IFERROR(INDEX(Aliases!$B$5:$B$80,MATCH(1,INDEX(ISNUMBER(SEARCH(Aliases!$A$5:$A$80,E216))*(Aliases!$A$5:$A$80&lt;&gt;""),0),0)),"UNMATCHED"))</f>
        <v/>
      </c>
      <c r="M216" s="16"/>
      <c r="N216" s="16"/>
    </row>
    <row r="217" spans="1:14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6"/>
      <c r="L217" s="15" t="str">
        <f>IF(E217="","",IFERROR(INDEX(Aliases!$B$5:$B$80,MATCH(1,INDEX(ISNUMBER(SEARCH(Aliases!$A$5:$A$80,E217))*(Aliases!$A$5:$A$80&lt;&gt;""),0),0)),"UNMATCHED"))</f>
        <v/>
      </c>
      <c r="M217" s="16"/>
      <c r="N217" s="16"/>
    </row>
    <row r="218" spans="1:14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6"/>
      <c r="L218" s="15" t="str">
        <f>IF(E218="","",IFERROR(INDEX(Aliases!$B$5:$B$80,MATCH(1,INDEX(ISNUMBER(SEARCH(Aliases!$A$5:$A$80,E218))*(Aliases!$A$5:$A$80&lt;&gt;""),0),0)),"UNMATCHED"))</f>
        <v/>
      </c>
      <c r="M218" s="16"/>
      <c r="N218" s="16"/>
    </row>
    <row r="219" spans="1:14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6"/>
      <c r="L219" s="15" t="str">
        <f>IF(E219="","",IFERROR(INDEX(Aliases!$B$5:$B$80,MATCH(1,INDEX(ISNUMBER(SEARCH(Aliases!$A$5:$A$80,E219))*(Aliases!$A$5:$A$80&lt;&gt;""),0),0)),"UNMATCHED"))</f>
        <v/>
      </c>
      <c r="M219" s="16"/>
      <c r="N219" s="16"/>
    </row>
    <row r="220" spans="1:14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6"/>
      <c r="L220" s="15" t="str">
        <f>IF(E220="","",IFERROR(INDEX(Aliases!$B$5:$B$80,MATCH(1,INDEX(ISNUMBER(SEARCH(Aliases!$A$5:$A$80,E220))*(Aliases!$A$5:$A$80&lt;&gt;""),0),0)),"UNMATCHED"))</f>
        <v/>
      </c>
      <c r="M220" s="16"/>
      <c r="N220" s="16"/>
    </row>
    <row r="221" spans="1:14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6"/>
      <c r="L221" s="15" t="str">
        <f>IF(E221="","",IFERROR(INDEX(Aliases!$B$5:$B$80,MATCH(1,INDEX(ISNUMBER(SEARCH(Aliases!$A$5:$A$80,E221))*(Aliases!$A$5:$A$80&lt;&gt;""),0),0)),"UNMATCHED"))</f>
        <v/>
      </c>
      <c r="M221" s="16"/>
      <c r="N221" s="16"/>
    </row>
    <row r="222" spans="1:14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6"/>
      <c r="L222" s="15" t="str">
        <f>IF(E222="","",IFERROR(INDEX(Aliases!$B$5:$B$80,MATCH(1,INDEX(ISNUMBER(SEARCH(Aliases!$A$5:$A$80,E222))*(Aliases!$A$5:$A$80&lt;&gt;""),0),0)),"UNMATCHED"))</f>
        <v/>
      </c>
      <c r="M222" s="16"/>
      <c r="N222" s="16"/>
    </row>
    <row r="223" spans="1:14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6"/>
      <c r="L223" s="15" t="str">
        <f>IF(E223="","",IFERROR(INDEX(Aliases!$B$5:$B$80,MATCH(1,INDEX(ISNUMBER(SEARCH(Aliases!$A$5:$A$80,E223))*(Aliases!$A$5:$A$80&lt;&gt;""),0),0)),"UNMATCHED"))</f>
        <v/>
      </c>
      <c r="M223" s="16"/>
      <c r="N223" s="16"/>
    </row>
    <row r="224" spans="1:14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6"/>
      <c r="L224" s="15" t="str">
        <f>IF(E224="","",IFERROR(INDEX(Aliases!$B$5:$B$80,MATCH(1,INDEX(ISNUMBER(SEARCH(Aliases!$A$5:$A$80,E224))*(Aliases!$A$5:$A$80&lt;&gt;""),0),0)),"UNMATCHED"))</f>
        <v/>
      </c>
      <c r="M224" s="16"/>
      <c r="N224" s="16"/>
    </row>
    <row r="225" spans="1:14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6"/>
      <c r="L225" s="15" t="str">
        <f>IF(E225="","",IFERROR(INDEX(Aliases!$B$5:$B$80,MATCH(1,INDEX(ISNUMBER(SEARCH(Aliases!$A$5:$A$80,E225))*(Aliases!$A$5:$A$80&lt;&gt;""),0),0)),"UNMATCHED"))</f>
        <v/>
      </c>
      <c r="M225" s="16"/>
      <c r="N225" s="16"/>
    </row>
    <row r="226" spans="1:14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6"/>
      <c r="L226" s="15" t="str">
        <f>IF(E226="","",IFERROR(INDEX(Aliases!$B$5:$B$80,MATCH(1,INDEX(ISNUMBER(SEARCH(Aliases!$A$5:$A$80,E226))*(Aliases!$A$5:$A$80&lt;&gt;""),0),0)),"UNMATCHED"))</f>
        <v/>
      </c>
      <c r="M226" s="16"/>
      <c r="N226" s="16"/>
    </row>
    <row r="227" spans="1:14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6"/>
      <c r="L227" s="15" t="str">
        <f>IF(E227="","",IFERROR(INDEX(Aliases!$B$5:$B$80,MATCH(1,INDEX(ISNUMBER(SEARCH(Aliases!$A$5:$A$80,E227))*(Aliases!$A$5:$A$80&lt;&gt;""),0),0)),"UNMATCHED"))</f>
        <v/>
      </c>
      <c r="M227" s="16"/>
      <c r="N227" s="16"/>
    </row>
    <row r="228" spans="1:14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6"/>
      <c r="L228" s="15" t="str">
        <f>IF(E228="","",IFERROR(INDEX(Aliases!$B$5:$B$80,MATCH(1,INDEX(ISNUMBER(SEARCH(Aliases!$A$5:$A$80,E228))*(Aliases!$A$5:$A$80&lt;&gt;""),0),0)),"UNMATCHED"))</f>
        <v/>
      </c>
      <c r="M228" s="16"/>
      <c r="N228" s="16"/>
    </row>
    <row r="229" spans="1:14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6"/>
      <c r="L229" s="15" t="str">
        <f>IF(E229="","",IFERROR(INDEX(Aliases!$B$5:$B$80,MATCH(1,INDEX(ISNUMBER(SEARCH(Aliases!$A$5:$A$80,E229))*(Aliases!$A$5:$A$80&lt;&gt;""),0),0)),"UNMATCHED"))</f>
        <v/>
      </c>
      <c r="M229" s="16"/>
      <c r="N229" s="16"/>
    </row>
    <row r="230" spans="1:14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6"/>
      <c r="L230" s="15" t="str">
        <f>IF(E230="","",IFERROR(INDEX(Aliases!$B$5:$B$80,MATCH(1,INDEX(ISNUMBER(SEARCH(Aliases!$A$5:$A$80,E230))*(Aliases!$A$5:$A$80&lt;&gt;""),0),0)),"UNMATCHED"))</f>
        <v/>
      </c>
      <c r="M230" s="16"/>
      <c r="N230" s="16"/>
    </row>
    <row r="231" spans="1:14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6"/>
      <c r="L231" s="15" t="str">
        <f>IF(E231="","",IFERROR(INDEX(Aliases!$B$5:$B$80,MATCH(1,INDEX(ISNUMBER(SEARCH(Aliases!$A$5:$A$80,E231))*(Aliases!$A$5:$A$80&lt;&gt;""),0),0)),"UNMATCHED"))</f>
        <v/>
      </c>
      <c r="M231" s="16"/>
      <c r="N231" s="16"/>
    </row>
    <row r="232" spans="1:14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6"/>
      <c r="L232" s="15" t="str">
        <f>IF(E232="","",IFERROR(INDEX(Aliases!$B$5:$B$80,MATCH(1,INDEX(ISNUMBER(SEARCH(Aliases!$A$5:$A$80,E232))*(Aliases!$A$5:$A$80&lt;&gt;""),0),0)),"UNMATCHED"))</f>
        <v/>
      </c>
      <c r="M232" s="16"/>
      <c r="N232" s="16"/>
    </row>
    <row r="233" spans="1:14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6"/>
      <c r="L233" s="15" t="str">
        <f>IF(E233="","",IFERROR(INDEX(Aliases!$B$5:$B$80,MATCH(1,INDEX(ISNUMBER(SEARCH(Aliases!$A$5:$A$80,E233))*(Aliases!$A$5:$A$80&lt;&gt;""),0),0)),"UNMATCHED"))</f>
        <v/>
      </c>
      <c r="M233" s="16"/>
      <c r="N233" s="16"/>
    </row>
    <row r="234" spans="1:14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6"/>
      <c r="L234" s="15" t="str">
        <f>IF(E234="","",IFERROR(INDEX(Aliases!$B$5:$B$80,MATCH(1,INDEX(ISNUMBER(SEARCH(Aliases!$A$5:$A$80,E234))*(Aliases!$A$5:$A$80&lt;&gt;""),0),0)),"UNMATCHED"))</f>
        <v/>
      </c>
      <c r="M234" s="16"/>
      <c r="N234" s="16"/>
    </row>
    <row r="235" spans="1:14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6"/>
      <c r="L235" s="15" t="str">
        <f>IF(E235="","",IFERROR(INDEX(Aliases!$B$5:$B$80,MATCH(1,INDEX(ISNUMBER(SEARCH(Aliases!$A$5:$A$80,E235))*(Aliases!$A$5:$A$80&lt;&gt;""),0),0)),"UNMATCHED"))</f>
        <v/>
      </c>
      <c r="M235" s="16"/>
      <c r="N235" s="16"/>
    </row>
    <row r="236" spans="1:14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6"/>
      <c r="L236" s="15" t="str">
        <f>IF(E236="","",IFERROR(INDEX(Aliases!$B$5:$B$80,MATCH(1,INDEX(ISNUMBER(SEARCH(Aliases!$A$5:$A$80,E236))*(Aliases!$A$5:$A$80&lt;&gt;""),0),0)),"UNMATCHED"))</f>
        <v/>
      </c>
      <c r="M236" s="16"/>
      <c r="N236" s="16"/>
    </row>
    <row r="237" spans="1:14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6"/>
      <c r="L237" s="15" t="str">
        <f>IF(E237="","",IFERROR(INDEX(Aliases!$B$5:$B$80,MATCH(1,INDEX(ISNUMBER(SEARCH(Aliases!$A$5:$A$80,E237))*(Aliases!$A$5:$A$80&lt;&gt;""),0),0)),"UNMATCHED"))</f>
        <v/>
      </c>
      <c r="M237" s="16"/>
      <c r="N237" s="16"/>
    </row>
    <row r="238" spans="1:14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6"/>
      <c r="L238" s="15" t="str">
        <f>IF(E238="","",IFERROR(INDEX(Aliases!$B$5:$B$80,MATCH(1,INDEX(ISNUMBER(SEARCH(Aliases!$A$5:$A$80,E238))*(Aliases!$A$5:$A$80&lt;&gt;""),0),0)),"UNMATCHED"))</f>
        <v/>
      </c>
      <c r="M238" s="16"/>
      <c r="N238" s="16"/>
    </row>
    <row r="239" spans="1:14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6"/>
      <c r="L239" s="15" t="str">
        <f>IF(E239="","",IFERROR(INDEX(Aliases!$B$5:$B$80,MATCH(1,INDEX(ISNUMBER(SEARCH(Aliases!$A$5:$A$80,E239))*(Aliases!$A$5:$A$80&lt;&gt;""),0),0)),"UNMATCHED"))</f>
        <v/>
      </c>
      <c r="M239" s="16"/>
      <c r="N239" s="16"/>
    </row>
    <row r="240" spans="1:14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6"/>
      <c r="L240" s="15" t="str">
        <f>IF(E240="","",IFERROR(INDEX(Aliases!$B$5:$B$80,MATCH(1,INDEX(ISNUMBER(SEARCH(Aliases!$A$5:$A$80,E240))*(Aliases!$A$5:$A$80&lt;&gt;""),0),0)),"UNMATCHED"))</f>
        <v/>
      </c>
      <c r="M240" s="16"/>
      <c r="N240" s="16"/>
    </row>
    <row r="241" spans="1:14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6"/>
      <c r="L241" s="15" t="str">
        <f>IF(E241="","",IFERROR(INDEX(Aliases!$B$5:$B$80,MATCH(1,INDEX(ISNUMBER(SEARCH(Aliases!$A$5:$A$80,E241))*(Aliases!$A$5:$A$80&lt;&gt;""),0),0)),"UNMATCHED"))</f>
        <v/>
      </c>
      <c r="M241" s="16"/>
      <c r="N241" s="16"/>
    </row>
    <row r="242" spans="1:14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6"/>
      <c r="L242" s="15" t="str">
        <f>IF(E242="","",IFERROR(INDEX(Aliases!$B$5:$B$80,MATCH(1,INDEX(ISNUMBER(SEARCH(Aliases!$A$5:$A$80,E242))*(Aliases!$A$5:$A$80&lt;&gt;""),0),0)),"UNMATCHED"))</f>
        <v/>
      </c>
      <c r="M242" s="16"/>
      <c r="N242" s="16"/>
    </row>
    <row r="243" spans="1:14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6"/>
      <c r="L243" s="15" t="str">
        <f>IF(E243="","",IFERROR(INDEX(Aliases!$B$5:$B$80,MATCH(1,INDEX(ISNUMBER(SEARCH(Aliases!$A$5:$A$80,E243))*(Aliases!$A$5:$A$80&lt;&gt;""),0),0)),"UNMATCHED"))</f>
        <v/>
      </c>
      <c r="M243" s="16"/>
      <c r="N243" s="16"/>
    </row>
    <row r="244" spans="1:14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6"/>
      <c r="L244" s="15" t="str">
        <f>IF(E244="","",IFERROR(INDEX(Aliases!$B$5:$B$80,MATCH(1,INDEX(ISNUMBER(SEARCH(Aliases!$A$5:$A$80,E244))*(Aliases!$A$5:$A$80&lt;&gt;""),0),0)),"UNMATCHED"))</f>
        <v/>
      </c>
      <c r="M244" s="16"/>
      <c r="N244" s="16"/>
    </row>
    <row r="245" spans="1:14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6"/>
      <c r="L245" s="15" t="str">
        <f>IF(E245="","",IFERROR(INDEX(Aliases!$B$5:$B$80,MATCH(1,INDEX(ISNUMBER(SEARCH(Aliases!$A$5:$A$80,E245))*(Aliases!$A$5:$A$80&lt;&gt;""),0),0)),"UNMATCHED"))</f>
        <v/>
      </c>
      <c r="M245" s="16"/>
      <c r="N245" s="16"/>
    </row>
    <row r="246" spans="1:14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6"/>
      <c r="L246" s="15" t="str">
        <f>IF(E246="","",IFERROR(INDEX(Aliases!$B$5:$B$80,MATCH(1,INDEX(ISNUMBER(SEARCH(Aliases!$A$5:$A$80,E246))*(Aliases!$A$5:$A$80&lt;&gt;""),0),0)),"UNMATCHED"))</f>
        <v/>
      </c>
      <c r="M246" s="16"/>
      <c r="N246" s="16"/>
    </row>
    <row r="247" spans="1:14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6"/>
      <c r="L247" s="15" t="str">
        <f>IF(E247="","",IFERROR(INDEX(Aliases!$B$5:$B$80,MATCH(1,INDEX(ISNUMBER(SEARCH(Aliases!$A$5:$A$80,E247))*(Aliases!$A$5:$A$80&lt;&gt;""),0),0)),"UNMATCHED"))</f>
        <v/>
      </c>
      <c r="M247" s="16"/>
      <c r="N247" s="16"/>
    </row>
    <row r="248" spans="1:14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6"/>
      <c r="L248" s="15" t="str">
        <f>IF(E248="","",IFERROR(INDEX(Aliases!$B$5:$B$80,MATCH(1,INDEX(ISNUMBER(SEARCH(Aliases!$A$5:$A$80,E248))*(Aliases!$A$5:$A$80&lt;&gt;""),0),0)),"UNMATCHED"))</f>
        <v/>
      </c>
      <c r="M248" s="16"/>
      <c r="N248" s="16"/>
    </row>
    <row r="249" spans="1:14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6"/>
      <c r="L249" s="15" t="str">
        <f>IF(E249="","",IFERROR(INDEX(Aliases!$B$5:$B$80,MATCH(1,INDEX(ISNUMBER(SEARCH(Aliases!$A$5:$A$80,E249))*(Aliases!$A$5:$A$80&lt;&gt;""),0),0)),"UNMATCHED"))</f>
        <v/>
      </c>
      <c r="M249" s="16"/>
      <c r="N249" s="16"/>
    </row>
    <row r="250" spans="1:14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6"/>
      <c r="L250" s="15" t="str">
        <f>IF(E250="","",IFERROR(INDEX(Aliases!$B$5:$B$80,MATCH(1,INDEX(ISNUMBER(SEARCH(Aliases!$A$5:$A$80,E250))*(Aliases!$A$5:$A$80&lt;&gt;""),0),0)),"UNMATCHED"))</f>
        <v/>
      </c>
      <c r="M250" s="16"/>
      <c r="N250" s="16"/>
    </row>
    <row r="251" spans="1:14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6"/>
      <c r="L251" s="15" t="str">
        <f>IF(E251="","",IFERROR(INDEX(Aliases!$B$5:$B$80,MATCH(1,INDEX(ISNUMBER(SEARCH(Aliases!$A$5:$A$80,E251))*(Aliases!$A$5:$A$80&lt;&gt;""),0),0)),"UNMATCHED"))</f>
        <v/>
      </c>
      <c r="M251" s="16"/>
      <c r="N251" s="16"/>
    </row>
    <row r="252" spans="1:14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6"/>
      <c r="L252" s="15" t="str">
        <f>IF(E252="","",IFERROR(INDEX(Aliases!$B$5:$B$80,MATCH(1,INDEX(ISNUMBER(SEARCH(Aliases!$A$5:$A$80,E252))*(Aliases!$A$5:$A$80&lt;&gt;""),0),0)),"UNMATCHED"))</f>
        <v/>
      </c>
      <c r="M252" s="16"/>
      <c r="N252" s="16"/>
    </row>
    <row r="253" spans="1:14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6"/>
      <c r="L253" s="15" t="str">
        <f>IF(E253="","",IFERROR(INDEX(Aliases!$B$5:$B$80,MATCH(1,INDEX(ISNUMBER(SEARCH(Aliases!$A$5:$A$80,E253))*(Aliases!$A$5:$A$80&lt;&gt;""),0),0)),"UNMATCHED"))</f>
        <v/>
      </c>
      <c r="M253" s="16"/>
      <c r="N253" s="16"/>
    </row>
    <row r="254" spans="1:14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6"/>
      <c r="L254" s="15" t="str">
        <f>IF(E254="","",IFERROR(INDEX(Aliases!$B$5:$B$80,MATCH(1,INDEX(ISNUMBER(SEARCH(Aliases!$A$5:$A$80,E254))*(Aliases!$A$5:$A$80&lt;&gt;""),0),0)),"UNMATCHED"))</f>
        <v/>
      </c>
      <c r="M254" s="16"/>
      <c r="N254" s="16"/>
    </row>
    <row r="255" spans="1:14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6"/>
      <c r="L255" s="15" t="str">
        <f>IF(E255="","",IFERROR(INDEX(Aliases!$B$5:$B$80,MATCH(1,INDEX(ISNUMBER(SEARCH(Aliases!$A$5:$A$80,E255))*(Aliases!$A$5:$A$80&lt;&gt;""),0),0)),"UNMATCHED"))</f>
        <v/>
      </c>
      <c r="M255" s="16"/>
      <c r="N255" s="16"/>
    </row>
    <row r="256" spans="1:14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6"/>
      <c r="L256" s="15" t="str">
        <f>IF(E256="","",IFERROR(INDEX(Aliases!$B$5:$B$80,MATCH(1,INDEX(ISNUMBER(SEARCH(Aliases!$A$5:$A$80,E256))*(Aliases!$A$5:$A$80&lt;&gt;""),0),0)),"UNMATCHED"))</f>
        <v/>
      </c>
      <c r="M256" s="16"/>
      <c r="N256" s="16"/>
    </row>
    <row r="257" spans="1:14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6"/>
      <c r="L257" s="15" t="str">
        <f>IF(E257="","",IFERROR(INDEX(Aliases!$B$5:$B$80,MATCH(1,INDEX(ISNUMBER(SEARCH(Aliases!$A$5:$A$80,E257))*(Aliases!$A$5:$A$80&lt;&gt;""),0),0)),"UNMATCHED"))</f>
        <v/>
      </c>
      <c r="M257" s="16"/>
      <c r="N257" s="16"/>
    </row>
    <row r="258" spans="1:14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6"/>
      <c r="L258" s="15" t="str">
        <f>IF(E258="","",IFERROR(INDEX(Aliases!$B$5:$B$80,MATCH(1,INDEX(ISNUMBER(SEARCH(Aliases!$A$5:$A$80,E258))*(Aliases!$A$5:$A$80&lt;&gt;""),0),0)),"UNMATCHED"))</f>
        <v/>
      </c>
      <c r="M258" s="16"/>
      <c r="N258" s="16"/>
    </row>
    <row r="259" spans="1:14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6"/>
      <c r="L259" s="15" t="str">
        <f>IF(E259="","",IFERROR(INDEX(Aliases!$B$5:$B$80,MATCH(1,INDEX(ISNUMBER(SEARCH(Aliases!$A$5:$A$80,E259))*(Aliases!$A$5:$A$80&lt;&gt;""),0),0)),"UNMATCHED"))</f>
        <v/>
      </c>
      <c r="M259" s="16"/>
      <c r="N259" s="16"/>
    </row>
    <row r="260" spans="1:14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6"/>
      <c r="L260" s="15" t="str">
        <f>IF(E260="","",IFERROR(INDEX(Aliases!$B$5:$B$80,MATCH(1,INDEX(ISNUMBER(SEARCH(Aliases!$A$5:$A$80,E260))*(Aliases!$A$5:$A$80&lt;&gt;""),0),0)),"UNMATCHED"))</f>
        <v/>
      </c>
      <c r="M260" s="16"/>
      <c r="N260" s="16"/>
    </row>
    <row r="261" spans="1:14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6"/>
      <c r="L261" s="15" t="str">
        <f>IF(E261="","",IFERROR(INDEX(Aliases!$B$5:$B$80,MATCH(1,INDEX(ISNUMBER(SEARCH(Aliases!$A$5:$A$80,E261))*(Aliases!$A$5:$A$80&lt;&gt;""),0),0)),"UNMATCHED"))</f>
        <v/>
      </c>
      <c r="M261" s="16"/>
      <c r="N261" s="16"/>
    </row>
    <row r="262" spans="1:14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6"/>
      <c r="L262" s="15" t="str">
        <f>IF(E262="","",IFERROR(INDEX(Aliases!$B$5:$B$80,MATCH(1,INDEX(ISNUMBER(SEARCH(Aliases!$A$5:$A$80,E262))*(Aliases!$A$5:$A$80&lt;&gt;""),0),0)),"UNMATCHED"))</f>
        <v/>
      </c>
      <c r="M262" s="16"/>
      <c r="N262" s="16"/>
    </row>
    <row r="263" spans="1:14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6"/>
      <c r="L263" s="15" t="str">
        <f>IF(E263="","",IFERROR(INDEX(Aliases!$B$5:$B$80,MATCH(1,INDEX(ISNUMBER(SEARCH(Aliases!$A$5:$A$80,E263))*(Aliases!$A$5:$A$80&lt;&gt;""),0),0)),"UNMATCHED"))</f>
        <v/>
      </c>
      <c r="M263" s="16"/>
      <c r="N263" s="16"/>
    </row>
    <row r="264" spans="1:14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6"/>
      <c r="L264" s="15" t="str">
        <f>IF(E264="","",IFERROR(INDEX(Aliases!$B$5:$B$80,MATCH(1,INDEX(ISNUMBER(SEARCH(Aliases!$A$5:$A$80,E264))*(Aliases!$A$5:$A$80&lt;&gt;""),0),0)),"UNMATCHED"))</f>
        <v/>
      </c>
      <c r="M264" s="16"/>
      <c r="N264" s="16"/>
    </row>
    <row r="265" spans="1:14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6"/>
      <c r="L265" s="15" t="str">
        <f>IF(E265="","",IFERROR(INDEX(Aliases!$B$5:$B$80,MATCH(1,INDEX(ISNUMBER(SEARCH(Aliases!$A$5:$A$80,E265))*(Aliases!$A$5:$A$80&lt;&gt;""),0),0)),"UNMATCHED"))</f>
        <v/>
      </c>
      <c r="M265" s="16"/>
      <c r="N265" s="16"/>
    </row>
    <row r="266" spans="1:14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6"/>
      <c r="L266" s="15" t="str">
        <f>IF(E266="","",IFERROR(INDEX(Aliases!$B$5:$B$80,MATCH(1,INDEX(ISNUMBER(SEARCH(Aliases!$A$5:$A$80,E266))*(Aliases!$A$5:$A$80&lt;&gt;""),0),0)),"UNMATCHED"))</f>
        <v/>
      </c>
      <c r="M266" s="16"/>
      <c r="N266" s="16"/>
    </row>
    <row r="267" spans="1:14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6"/>
      <c r="L267" s="15" t="str">
        <f>IF(E267="","",IFERROR(INDEX(Aliases!$B$5:$B$80,MATCH(1,INDEX(ISNUMBER(SEARCH(Aliases!$A$5:$A$80,E267))*(Aliases!$A$5:$A$80&lt;&gt;""),0),0)),"UNMATCHED"))</f>
        <v/>
      </c>
      <c r="M267" s="16"/>
      <c r="N267" s="16"/>
    </row>
    <row r="268" spans="1:14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6"/>
      <c r="L268" s="15" t="str">
        <f>IF(E268="","",IFERROR(INDEX(Aliases!$B$5:$B$80,MATCH(1,INDEX(ISNUMBER(SEARCH(Aliases!$A$5:$A$80,E268))*(Aliases!$A$5:$A$80&lt;&gt;""),0),0)),"UNMATCHED"))</f>
        <v/>
      </c>
      <c r="M268" s="16"/>
      <c r="N268" s="16"/>
    </row>
    <row r="269" spans="1:14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6"/>
      <c r="L269" s="15" t="str">
        <f>IF(E269="","",IFERROR(INDEX(Aliases!$B$5:$B$80,MATCH(1,INDEX(ISNUMBER(SEARCH(Aliases!$A$5:$A$80,E269))*(Aliases!$A$5:$A$80&lt;&gt;""),0),0)),"UNMATCHED"))</f>
        <v/>
      </c>
      <c r="M269" s="16"/>
      <c r="N269" s="16"/>
    </row>
    <row r="270" spans="1:14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6"/>
      <c r="L270" s="15" t="str">
        <f>IF(E270="","",IFERROR(INDEX(Aliases!$B$5:$B$80,MATCH(1,INDEX(ISNUMBER(SEARCH(Aliases!$A$5:$A$80,E270))*(Aliases!$A$5:$A$80&lt;&gt;""),0),0)),"UNMATCHED"))</f>
        <v/>
      </c>
      <c r="M270" s="16"/>
      <c r="N270" s="16"/>
    </row>
    <row r="271" spans="1:14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6"/>
      <c r="L271" s="15" t="str">
        <f>IF(E271="","",IFERROR(INDEX(Aliases!$B$5:$B$80,MATCH(1,INDEX(ISNUMBER(SEARCH(Aliases!$A$5:$A$80,E271))*(Aliases!$A$5:$A$80&lt;&gt;""),0),0)),"UNMATCHED"))</f>
        <v/>
      </c>
      <c r="M271" s="16"/>
      <c r="N271" s="16"/>
    </row>
    <row r="272" spans="1:14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6"/>
      <c r="L272" s="15" t="str">
        <f>IF(E272="","",IFERROR(INDEX(Aliases!$B$5:$B$80,MATCH(1,INDEX(ISNUMBER(SEARCH(Aliases!$A$5:$A$80,E272))*(Aliases!$A$5:$A$80&lt;&gt;""),0),0)),"UNMATCHED"))</f>
        <v/>
      </c>
      <c r="M272" s="16"/>
      <c r="N272" s="16"/>
    </row>
    <row r="273" spans="1:14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6"/>
      <c r="L273" s="15" t="str">
        <f>IF(E273="","",IFERROR(INDEX(Aliases!$B$5:$B$80,MATCH(1,INDEX(ISNUMBER(SEARCH(Aliases!$A$5:$A$80,E273))*(Aliases!$A$5:$A$80&lt;&gt;""),0),0)),"UNMATCHED"))</f>
        <v/>
      </c>
      <c r="M273" s="16"/>
      <c r="N273" s="16"/>
    </row>
    <row r="274" spans="1:14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6"/>
      <c r="L274" s="15" t="str">
        <f>IF(E274="","",IFERROR(INDEX(Aliases!$B$5:$B$80,MATCH(1,INDEX(ISNUMBER(SEARCH(Aliases!$A$5:$A$80,E274))*(Aliases!$A$5:$A$80&lt;&gt;""),0),0)),"UNMATCHED"))</f>
        <v/>
      </c>
      <c r="M274" s="16"/>
      <c r="N274" s="16"/>
    </row>
    <row r="275" spans="1:14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6"/>
      <c r="L275" s="15" t="str">
        <f>IF(E275="","",IFERROR(INDEX(Aliases!$B$5:$B$80,MATCH(1,INDEX(ISNUMBER(SEARCH(Aliases!$A$5:$A$80,E275))*(Aliases!$A$5:$A$80&lt;&gt;""),0),0)),"UNMATCHED"))</f>
        <v/>
      </c>
      <c r="M275" s="16"/>
      <c r="N275" s="16"/>
    </row>
    <row r="276" spans="1:14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6"/>
      <c r="L276" s="15" t="str">
        <f>IF(E276="","",IFERROR(INDEX(Aliases!$B$5:$B$80,MATCH(1,INDEX(ISNUMBER(SEARCH(Aliases!$A$5:$A$80,E276))*(Aliases!$A$5:$A$80&lt;&gt;""),0),0)),"UNMATCHED"))</f>
        <v/>
      </c>
      <c r="M276" s="16"/>
      <c r="N276" s="16"/>
    </row>
    <row r="277" spans="1:14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6"/>
      <c r="L277" s="15" t="str">
        <f>IF(E277="","",IFERROR(INDEX(Aliases!$B$5:$B$80,MATCH(1,INDEX(ISNUMBER(SEARCH(Aliases!$A$5:$A$80,E277))*(Aliases!$A$5:$A$80&lt;&gt;""),0),0)),"UNMATCHED"))</f>
        <v/>
      </c>
      <c r="M277" s="16"/>
      <c r="N277" s="16"/>
    </row>
    <row r="278" spans="1:14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6"/>
      <c r="L278" s="15" t="str">
        <f>IF(E278="","",IFERROR(INDEX(Aliases!$B$5:$B$80,MATCH(1,INDEX(ISNUMBER(SEARCH(Aliases!$A$5:$A$80,E278))*(Aliases!$A$5:$A$80&lt;&gt;""),0),0)),"UNMATCHED"))</f>
        <v/>
      </c>
      <c r="M278" s="16"/>
      <c r="N278" s="16"/>
    </row>
    <row r="279" spans="1:14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6"/>
      <c r="L279" s="15" t="str">
        <f>IF(E279="","",IFERROR(INDEX(Aliases!$B$5:$B$80,MATCH(1,INDEX(ISNUMBER(SEARCH(Aliases!$A$5:$A$80,E279))*(Aliases!$A$5:$A$80&lt;&gt;""),0),0)),"UNMATCHED"))</f>
        <v/>
      </c>
      <c r="M279" s="16"/>
      <c r="N279" s="16"/>
    </row>
    <row r="280" spans="1:14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6"/>
      <c r="L280" s="15" t="str">
        <f>IF(E280="","",IFERROR(INDEX(Aliases!$B$5:$B$80,MATCH(1,INDEX(ISNUMBER(SEARCH(Aliases!$A$5:$A$80,E280))*(Aliases!$A$5:$A$80&lt;&gt;""),0),0)),"UNMATCHED"))</f>
        <v/>
      </c>
      <c r="M280" s="16"/>
      <c r="N280" s="16"/>
    </row>
    <row r="281" spans="1:14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6"/>
      <c r="L281" s="15" t="str">
        <f>IF(E281="","",IFERROR(INDEX(Aliases!$B$5:$B$80,MATCH(1,INDEX(ISNUMBER(SEARCH(Aliases!$A$5:$A$80,E281))*(Aliases!$A$5:$A$80&lt;&gt;""),0),0)),"UNMATCHED"))</f>
        <v/>
      </c>
      <c r="M281" s="16"/>
      <c r="N281" s="16"/>
    </row>
    <row r="282" spans="1:14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6"/>
      <c r="L282" s="15" t="str">
        <f>IF(E282="","",IFERROR(INDEX(Aliases!$B$5:$B$80,MATCH(1,INDEX(ISNUMBER(SEARCH(Aliases!$A$5:$A$80,E282))*(Aliases!$A$5:$A$80&lt;&gt;""),0),0)),"UNMATCHED"))</f>
        <v/>
      </c>
      <c r="M282" s="16"/>
      <c r="N282" s="16"/>
    </row>
    <row r="283" spans="1:14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6"/>
      <c r="L283" s="15" t="str">
        <f>IF(E283="","",IFERROR(INDEX(Aliases!$B$5:$B$80,MATCH(1,INDEX(ISNUMBER(SEARCH(Aliases!$A$5:$A$80,E283))*(Aliases!$A$5:$A$80&lt;&gt;""),0),0)),"UNMATCHED"))</f>
        <v/>
      </c>
      <c r="M283" s="16"/>
      <c r="N283" s="16"/>
    </row>
    <row r="284" spans="1:14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6"/>
      <c r="L284" s="15" t="str">
        <f>IF(E284="","",IFERROR(INDEX(Aliases!$B$5:$B$80,MATCH(1,INDEX(ISNUMBER(SEARCH(Aliases!$A$5:$A$80,E284))*(Aliases!$A$5:$A$80&lt;&gt;""),0),0)),"UNMATCHED"))</f>
        <v/>
      </c>
      <c r="M284" s="16"/>
      <c r="N284" s="16"/>
    </row>
    <row r="285" spans="1:14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6"/>
      <c r="L285" s="15" t="str">
        <f>IF(E285="","",IFERROR(INDEX(Aliases!$B$5:$B$80,MATCH(1,INDEX(ISNUMBER(SEARCH(Aliases!$A$5:$A$80,E285))*(Aliases!$A$5:$A$80&lt;&gt;""),0),0)),"UNMATCHED"))</f>
        <v/>
      </c>
      <c r="M285" s="16"/>
      <c r="N285" s="16"/>
    </row>
    <row r="286" spans="1:14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6"/>
      <c r="L286" s="15" t="str">
        <f>IF(E286="","",IFERROR(INDEX(Aliases!$B$5:$B$80,MATCH(1,INDEX(ISNUMBER(SEARCH(Aliases!$A$5:$A$80,E286))*(Aliases!$A$5:$A$80&lt;&gt;""),0),0)),"UNMATCHED"))</f>
        <v/>
      </c>
      <c r="M286" s="16"/>
      <c r="N286" s="16"/>
    </row>
    <row r="287" spans="1:14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6"/>
      <c r="L287" s="15" t="str">
        <f>IF(E287="","",IFERROR(INDEX(Aliases!$B$5:$B$80,MATCH(1,INDEX(ISNUMBER(SEARCH(Aliases!$A$5:$A$80,E287))*(Aliases!$A$5:$A$80&lt;&gt;""),0),0)),"UNMATCHED"))</f>
        <v/>
      </c>
      <c r="M287" s="16"/>
      <c r="N287" s="16"/>
    </row>
    <row r="288" spans="1:14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6"/>
      <c r="L288" s="15" t="str">
        <f>IF(E288="","",IFERROR(INDEX(Aliases!$B$5:$B$80,MATCH(1,INDEX(ISNUMBER(SEARCH(Aliases!$A$5:$A$80,E288))*(Aliases!$A$5:$A$80&lt;&gt;""),0),0)),"UNMATCHED"))</f>
        <v/>
      </c>
      <c r="M288" s="16"/>
      <c r="N288" s="16"/>
    </row>
    <row r="289" spans="1:14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6"/>
      <c r="L289" s="15" t="str">
        <f>IF(E289="","",IFERROR(INDEX(Aliases!$B$5:$B$80,MATCH(1,INDEX(ISNUMBER(SEARCH(Aliases!$A$5:$A$80,E289))*(Aliases!$A$5:$A$80&lt;&gt;""),0),0)),"UNMATCHED"))</f>
        <v/>
      </c>
      <c r="M289" s="16"/>
      <c r="N289" s="16"/>
    </row>
    <row r="290" spans="1:14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6"/>
      <c r="L290" s="15" t="str">
        <f>IF(E290="","",IFERROR(INDEX(Aliases!$B$5:$B$80,MATCH(1,INDEX(ISNUMBER(SEARCH(Aliases!$A$5:$A$80,E290))*(Aliases!$A$5:$A$80&lt;&gt;""),0),0)),"UNMATCHED"))</f>
        <v/>
      </c>
      <c r="M290" s="16"/>
      <c r="N290" s="16"/>
    </row>
    <row r="291" spans="1:14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6"/>
      <c r="L291" s="15" t="str">
        <f>IF(E291="","",IFERROR(INDEX(Aliases!$B$5:$B$80,MATCH(1,INDEX(ISNUMBER(SEARCH(Aliases!$A$5:$A$80,E291))*(Aliases!$A$5:$A$80&lt;&gt;""),0),0)),"UNMATCHED"))</f>
        <v/>
      </c>
      <c r="M291" s="16"/>
      <c r="N291" s="16"/>
    </row>
    <row r="292" spans="1:14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6"/>
      <c r="L292" s="15" t="str">
        <f>IF(E292="","",IFERROR(INDEX(Aliases!$B$5:$B$80,MATCH(1,INDEX(ISNUMBER(SEARCH(Aliases!$A$5:$A$80,E292))*(Aliases!$A$5:$A$80&lt;&gt;""),0),0)),"UNMATCHED"))</f>
        <v/>
      </c>
      <c r="M292" s="16"/>
      <c r="N292" s="16"/>
    </row>
    <row r="293" spans="1:14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6"/>
      <c r="L293" s="15" t="str">
        <f>IF(E293="","",IFERROR(INDEX(Aliases!$B$5:$B$80,MATCH(1,INDEX(ISNUMBER(SEARCH(Aliases!$A$5:$A$80,E293))*(Aliases!$A$5:$A$80&lt;&gt;""),0),0)),"UNMATCHED"))</f>
        <v/>
      </c>
      <c r="M293" s="16"/>
      <c r="N293" s="16"/>
    </row>
    <row r="294" spans="1:14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6"/>
      <c r="L294" s="15" t="str">
        <f>IF(E294="","",IFERROR(INDEX(Aliases!$B$5:$B$80,MATCH(1,INDEX(ISNUMBER(SEARCH(Aliases!$A$5:$A$80,E294))*(Aliases!$A$5:$A$80&lt;&gt;""),0),0)),"UNMATCHED"))</f>
        <v/>
      </c>
      <c r="M294" s="16"/>
      <c r="N294" s="16"/>
    </row>
    <row r="295" spans="1:14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6"/>
      <c r="L295" s="15" t="str">
        <f>IF(E295="","",IFERROR(INDEX(Aliases!$B$5:$B$80,MATCH(1,INDEX(ISNUMBER(SEARCH(Aliases!$A$5:$A$80,E295))*(Aliases!$A$5:$A$80&lt;&gt;""),0),0)),"UNMATCHED"))</f>
        <v/>
      </c>
      <c r="M295" s="16"/>
      <c r="N295" s="16"/>
    </row>
    <row r="296" spans="1:14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6"/>
      <c r="L296" s="15" t="str">
        <f>IF(E296="","",IFERROR(INDEX(Aliases!$B$5:$B$80,MATCH(1,INDEX(ISNUMBER(SEARCH(Aliases!$A$5:$A$80,E296))*(Aliases!$A$5:$A$80&lt;&gt;""),0),0)),"UNMATCHED"))</f>
        <v/>
      </c>
      <c r="M296" s="16"/>
      <c r="N296" s="16"/>
    </row>
    <row r="297" spans="1:14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6"/>
      <c r="L297" s="15" t="str">
        <f>IF(E297="","",IFERROR(INDEX(Aliases!$B$5:$B$80,MATCH(1,INDEX(ISNUMBER(SEARCH(Aliases!$A$5:$A$80,E297))*(Aliases!$A$5:$A$80&lt;&gt;""),0),0)),"UNMATCHED"))</f>
        <v/>
      </c>
      <c r="M297" s="16"/>
      <c r="N297" s="16"/>
    </row>
    <row r="298" spans="1:14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6"/>
      <c r="L298" s="15" t="str">
        <f>IF(E298="","",IFERROR(INDEX(Aliases!$B$5:$B$80,MATCH(1,INDEX(ISNUMBER(SEARCH(Aliases!$A$5:$A$80,E298))*(Aliases!$A$5:$A$80&lt;&gt;""),0),0)),"UNMATCHED"))</f>
        <v/>
      </c>
      <c r="M298" s="16"/>
      <c r="N298" s="16"/>
    </row>
    <row r="299" spans="1:14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6"/>
      <c r="L299" s="15" t="str">
        <f>IF(E299="","",IFERROR(INDEX(Aliases!$B$5:$B$80,MATCH(1,INDEX(ISNUMBER(SEARCH(Aliases!$A$5:$A$80,E299))*(Aliases!$A$5:$A$80&lt;&gt;""),0),0)),"UNMATCHED"))</f>
        <v/>
      </c>
      <c r="M299" s="16"/>
      <c r="N299" s="16"/>
    </row>
    <row r="300" spans="1:14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6"/>
      <c r="L300" s="15" t="str">
        <f>IF(E300="","",IFERROR(INDEX(Aliases!$B$5:$B$80,MATCH(1,INDEX(ISNUMBER(SEARCH(Aliases!$A$5:$A$80,E300))*(Aliases!$A$5:$A$80&lt;&gt;""),0),0)),"UNMATCHED"))</f>
        <v/>
      </c>
      <c r="M300" s="16"/>
      <c r="N300" s="16"/>
    </row>
    <row r="301" spans="1:14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6"/>
      <c r="L301" s="15" t="str">
        <f>IF(E301="","",IFERROR(INDEX(Aliases!$B$5:$B$80,MATCH(1,INDEX(ISNUMBER(SEARCH(Aliases!$A$5:$A$80,E301))*(Aliases!$A$5:$A$80&lt;&gt;""),0),0)),"UNMATCHED"))</f>
        <v/>
      </c>
      <c r="M301" s="16"/>
      <c r="N301" s="16"/>
    </row>
    <row r="302" spans="1:14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6"/>
      <c r="L302" s="15" t="str">
        <f>IF(E302="","",IFERROR(INDEX(Aliases!$B$5:$B$80,MATCH(1,INDEX(ISNUMBER(SEARCH(Aliases!$A$5:$A$80,E302))*(Aliases!$A$5:$A$80&lt;&gt;""),0),0)),"UNMATCHED"))</f>
        <v/>
      </c>
      <c r="M302" s="16"/>
      <c r="N302" s="16"/>
    </row>
    <row r="303" spans="1:14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6"/>
      <c r="L303" s="15" t="str">
        <f>IF(E303="","",IFERROR(INDEX(Aliases!$B$5:$B$80,MATCH(1,INDEX(ISNUMBER(SEARCH(Aliases!$A$5:$A$80,E303))*(Aliases!$A$5:$A$80&lt;&gt;""),0),0)),"UNMATCHED"))</f>
        <v/>
      </c>
      <c r="M303" s="16"/>
      <c r="N303" s="16"/>
    </row>
    <row r="304" spans="1:14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6"/>
      <c r="L304" s="15" t="str">
        <f>IF(E304="","",IFERROR(INDEX(Aliases!$B$5:$B$80,MATCH(1,INDEX(ISNUMBER(SEARCH(Aliases!$A$5:$A$80,E304))*(Aliases!$A$5:$A$80&lt;&gt;""),0),0)),"UNMATCHED"))</f>
        <v/>
      </c>
      <c r="M304" s="16"/>
      <c r="N304" s="16"/>
    </row>
    <row r="305" spans="1:14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6"/>
      <c r="L305" s="15" t="str">
        <f>IF(E305="","",IFERROR(INDEX(Aliases!$B$5:$B$80,MATCH(1,INDEX(ISNUMBER(SEARCH(Aliases!$A$5:$A$80,E305))*(Aliases!$A$5:$A$80&lt;&gt;""),0),0)),"UNMATCHED"))</f>
        <v/>
      </c>
      <c r="M305" s="16"/>
      <c r="N305" s="16"/>
    </row>
    <row r="306" spans="1:14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6"/>
      <c r="L306" s="15" t="str">
        <f>IF(E306="","",IFERROR(INDEX(Aliases!$B$5:$B$80,MATCH(1,INDEX(ISNUMBER(SEARCH(Aliases!$A$5:$A$80,E306))*(Aliases!$A$5:$A$80&lt;&gt;""),0),0)),"UNMATCHED"))</f>
        <v/>
      </c>
      <c r="M306" s="16"/>
      <c r="N306" s="16"/>
    </row>
    <row r="307" spans="1:14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6"/>
      <c r="L307" s="15" t="str">
        <f>IF(E307="","",IFERROR(INDEX(Aliases!$B$5:$B$80,MATCH(1,INDEX(ISNUMBER(SEARCH(Aliases!$A$5:$A$80,E307))*(Aliases!$A$5:$A$80&lt;&gt;""),0),0)),"UNMATCHED"))</f>
        <v/>
      </c>
      <c r="M307" s="16"/>
      <c r="N307" s="16"/>
    </row>
    <row r="308" spans="1:14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6"/>
      <c r="L308" s="15" t="str">
        <f>IF(E308="","",IFERROR(INDEX(Aliases!$B$5:$B$80,MATCH(1,INDEX(ISNUMBER(SEARCH(Aliases!$A$5:$A$80,E308))*(Aliases!$A$5:$A$80&lt;&gt;""),0),0)),"UNMATCHED"))</f>
        <v/>
      </c>
      <c r="M308" s="16"/>
      <c r="N308" s="16"/>
    </row>
    <row r="309" spans="1:14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6"/>
      <c r="L309" s="15" t="str">
        <f>IF(E309="","",IFERROR(INDEX(Aliases!$B$5:$B$80,MATCH(1,INDEX(ISNUMBER(SEARCH(Aliases!$A$5:$A$80,E309))*(Aliases!$A$5:$A$80&lt;&gt;""),0),0)),"UNMATCHED"))</f>
        <v/>
      </c>
      <c r="M309" s="16"/>
      <c r="N309" s="16"/>
    </row>
    <row r="310" spans="1:14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6"/>
      <c r="L310" s="15" t="str">
        <f>IF(E310="","",IFERROR(INDEX(Aliases!$B$5:$B$80,MATCH(1,INDEX(ISNUMBER(SEARCH(Aliases!$A$5:$A$80,E310))*(Aliases!$A$5:$A$80&lt;&gt;""),0),0)),"UNMATCHED"))</f>
        <v/>
      </c>
      <c r="M310" s="16"/>
      <c r="N310" s="16"/>
    </row>
    <row r="311" spans="1:14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6"/>
      <c r="L311" s="15" t="str">
        <f>IF(E311="","",IFERROR(INDEX(Aliases!$B$5:$B$80,MATCH(1,INDEX(ISNUMBER(SEARCH(Aliases!$A$5:$A$80,E311))*(Aliases!$A$5:$A$80&lt;&gt;""),0),0)),"UNMATCHED"))</f>
        <v/>
      </c>
      <c r="M311" s="16"/>
      <c r="N311" s="16"/>
    </row>
    <row r="312" spans="1:14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6"/>
      <c r="L312" s="15" t="str">
        <f>IF(E312="","",IFERROR(INDEX(Aliases!$B$5:$B$80,MATCH(1,INDEX(ISNUMBER(SEARCH(Aliases!$A$5:$A$80,E312))*(Aliases!$A$5:$A$80&lt;&gt;""),0),0)),"UNMATCHED"))</f>
        <v/>
      </c>
      <c r="M312" s="16"/>
      <c r="N312" s="16"/>
    </row>
    <row r="313" spans="1:14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6"/>
      <c r="L313" s="15" t="str">
        <f>IF(E313="","",IFERROR(INDEX(Aliases!$B$5:$B$80,MATCH(1,INDEX(ISNUMBER(SEARCH(Aliases!$A$5:$A$80,E313))*(Aliases!$A$5:$A$80&lt;&gt;""),0),0)),"UNMATCHED"))</f>
        <v/>
      </c>
      <c r="M313" s="16"/>
      <c r="N313" s="16"/>
    </row>
    <row r="314" spans="1:14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6"/>
      <c r="L314" s="15" t="str">
        <f>IF(E314="","",IFERROR(INDEX(Aliases!$B$5:$B$80,MATCH(1,INDEX(ISNUMBER(SEARCH(Aliases!$A$5:$A$80,E314))*(Aliases!$A$5:$A$80&lt;&gt;""),0),0)),"UNMATCHED"))</f>
        <v/>
      </c>
      <c r="M314" s="16"/>
      <c r="N314" s="16"/>
    </row>
    <row r="315" spans="1:14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6"/>
      <c r="L315" s="15" t="str">
        <f>IF(E315="","",IFERROR(INDEX(Aliases!$B$5:$B$80,MATCH(1,INDEX(ISNUMBER(SEARCH(Aliases!$A$5:$A$80,E315))*(Aliases!$A$5:$A$80&lt;&gt;""),0),0)),"UNMATCHED"))</f>
        <v/>
      </c>
      <c r="M315" s="16"/>
      <c r="N315" s="16"/>
    </row>
    <row r="316" spans="1:14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6"/>
      <c r="L316" s="15" t="str">
        <f>IF(E316="","",IFERROR(INDEX(Aliases!$B$5:$B$80,MATCH(1,INDEX(ISNUMBER(SEARCH(Aliases!$A$5:$A$80,E316))*(Aliases!$A$5:$A$80&lt;&gt;""),0),0)),"UNMATCHED"))</f>
        <v/>
      </c>
      <c r="M316" s="16"/>
      <c r="N316" s="16"/>
    </row>
    <row r="317" spans="1:14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6"/>
      <c r="L317" s="15" t="str">
        <f>IF(E317="","",IFERROR(INDEX(Aliases!$B$5:$B$80,MATCH(1,INDEX(ISNUMBER(SEARCH(Aliases!$A$5:$A$80,E317))*(Aliases!$A$5:$A$80&lt;&gt;""),0),0)),"UNMATCHED"))</f>
        <v/>
      </c>
      <c r="M317" s="16"/>
      <c r="N317" s="16"/>
    </row>
    <row r="318" spans="1:14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6"/>
      <c r="L318" s="15" t="str">
        <f>IF(E318="","",IFERROR(INDEX(Aliases!$B$5:$B$80,MATCH(1,INDEX(ISNUMBER(SEARCH(Aliases!$A$5:$A$80,E318))*(Aliases!$A$5:$A$80&lt;&gt;""),0),0)),"UNMATCHED"))</f>
        <v/>
      </c>
      <c r="M318" s="16"/>
      <c r="N318" s="16"/>
    </row>
    <row r="319" spans="1:14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6"/>
      <c r="L319" s="15" t="str">
        <f>IF(E319="","",IFERROR(INDEX(Aliases!$B$5:$B$80,MATCH(1,INDEX(ISNUMBER(SEARCH(Aliases!$A$5:$A$80,E319))*(Aliases!$A$5:$A$80&lt;&gt;""),0),0)),"UNMATCHED"))</f>
        <v/>
      </c>
      <c r="M319" s="16"/>
      <c r="N319" s="16"/>
    </row>
    <row r="320" spans="1:14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6"/>
      <c r="L320" s="15" t="str">
        <f>IF(E320="","",IFERROR(INDEX(Aliases!$B$5:$B$80,MATCH(1,INDEX(ISNUMBER(SEARCH(Aliases!$A$5:$A$80,E320))*(Aliases!$A$5:$A$80&lt;&gt;""),0),0)),"UNMATCHED"))</f>
        <v/>
      </c>
      <c r="M320" s="16"/>
      <c r="N320" s="16"/>
    </row>
    <row r="321" spans="1:14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6"/>
      <c r="L321" s="15" t="str">
        <f>IF(E321="","",IFERROR(INDEX(Aliases!$B$5:$B$80,MATCH(1,INDEX(ISNUMBER(SEARCH(Aliases!$A$5:$A$80,E321))*(Aliases!$A$5:$A$80&lt;&gt;""),0),0)),"UNMATCHED"))</f>
        <v/>
      </c>
      <c r="M321" s="16"/>
      <c r="N321" s="16"/>
    </row>
    <row r="322" spans="1:14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6"/>
      <c r="L322" s="15" t="str">
        <f>IF(E322="","",IFERROR(INDEX(Aliases!$B$5:$B$80,MATCH(1,INDEX(ISNUMBER(SEARCH(Aliases!$A$5:$A$80,E322))*(Aliases!$A$5:$A$80&lt;&gt;""),0),0)),"UNMATCHED"))</f>
        <v/>
      </c>
      <c r="M322" s="16"/>
      <c r="N322" s="16"/>
    </row>
    <row r="323" spans="1:14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6"/>
      <c r="L323" s="15" t="str">
        <f>IF(E323="","",IFERROR(INDEX(Aliases!$B$5:$B$80,MATCH(1,INDEX(ISNUMBER(SEARCH(Aliases!$A$5:$A$80,E323))*(Aliases!$A$5:$A$80&lt;&gt;""),0),0)),"UNMATCHED"))</f>
        <v/>
      </c>
      <c r="M323" s="16"/>
      <c r="N323" s="16"/>
    </row>
    <row r="324" spans="1:14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6"/>
      <c r="L324" s="15" t="str">
        <f>IF(E324="","",IFERROR(INDEX(Aliases!$B$5:$B$80,MATCH(1,INDEX(ISNUMBER(SEARCH(Aliases!$A$5:$A$80,E324))*(Aliases!$A$5:$A$80&lt;&gt;""),0),0)),"UNMATCHED"))</f>
        <v/>
      </c>
      <c r="M324" s="16"/>
      <c r="N324" s="16"/>
    </row>
    <row r="325" spans="1:14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6"/>
      <c r="L325" s="15" t="str">
        <f>IF(E325="","",IFERROR(INDEX(Aliases!$B$5:$B$80,MATCH(1,INDEX(ISNUMBER(SEARCH(Aliases!$A$5:$A$80,E325))*(Aliases!$A$5:$A$80&lt;&gt;""),0),0)),"UNMATCHED"))</f>
        <v/>
      </c>
      <c r="M325" s="16"/>
      <c r="N325" s="16"/>
    </row>
    <row r="326" spans="1:14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6"/>
      <c r="L326" s="15" t="str">
        <f>IF(E326="","",IFERROR(INDEX(Aliases!$B$5:$B$80,MATCH(1,INDEX(ISNUMBER(SEARCH(Aliases!$A$5:$A$80,E326))*(Aliases!$A$5:$A$80&lt;&gt;""),0),0)),"UNMATCHED"))</f>
        <v/>
      </c>
      <c r="M326" s="16"/>
      <c r="N326" s="16"/>
    </row>
    <row r="327" spans="1:14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6"/>
      <c r="L327" s="15" t="str">
        <f>IF(E327="","",IFERROR(INDEX(Aliases!$B$5:$B$80,MATCH(1,INDEX(ISNUMBER(SEARCH(Aliases!$A$5:$A$80,E327))*(Aliases!$A$5:$A$80&lt;&gt;""),0),0)),"UNMATCHED"))</f>
        <v/>
      </c>
      <c r="M327" s="16"/>
      <c r="N327" s="16"/>
    </row>
    <row r="328" spans="1:14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6"/>
      <c r="L328" s="15" t="str">
        <f>IF(E328="","",IFERROR(INDEX(Aliases!$B$5:$B$80,MATCH(1,INDEX(ISNUMBER(SEARCH(Aliases!$A$5:$A$80,E328))*(Aliases!$A$5:$A$80&lt;&gt;""),0),0)),"UNMATCHED"))</f>
        <v/>
      </c>
      <c r="M328" s="16"/>
      <c r="N328" s="16"/>
    </row>
    <row r="329" spans="1:14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6"/>
      <c r="L329" s="15" t="str">
        <f>IF(E329="","",IFERROR(INDEX(Aliases!$B$5:$B$80,MATCH(1,INDEX(ISNUMBER(SEARCH(Aliases!$A$5:$A$80,E329))*(Aliases!$A$5:$A$80&lt;&gt;""),0),0)),"UNMATCHED"))</f>
        <v/>
      </c>
      <c r="M329" s="16"/>
      <c r="N329" s="16"/>
    </row>
    <row r="330" spans="1:14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6"/>
      <c r="L330" s="15" t="str">
        <f>IF(E330="","",IFERROR(INDEX(Aliases!$B$5:$B$80,MATCH(1,INDEX(ISNUMBER(SEARCH(Aliases!$A$5:$A$80,E330))*(Aliases!$A$5:$A$80&lt;&gt;""),0),0)),"UNMATCHED"))</f>
        <v/>
      </c>
      <c r="M330" s="16"/>
      <c r="N330" s="16"/>
    </row>
    <row r="331" spans="1:14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6"/>
      <c r="L331" s="15" t="str">
        <f>IF(E331="","",IFERROR(INDEX(Aliases!$B$5:$B$80,MATCH(1,INDEX(ISNUMBER(SEARCH(Aliases!$A$5:$A$80,E331))*(Aliases!$A$5:$A$80&lt;&gt;""),0),0)),"UNMATCHED"))</f>
        <v/>
      </c>
      <c r="M331" s="16"/>
      <c r="N331" s="16"/>
    </row>
    <row r="332" spans="1:14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6"/>
      <c r="L332" s="15" t="str">
        <f>IF(E332="","",IFERROR(INDEX(Aliases!$B$5:$B$80,MATCH(1,INDEX(ISNUMBER(SEARCH(Aliases!$A$5:$A$80,E332))*(Aliases!$A$5:$A$80&lt;&gt;""),0),0)),"UNMATCHED"))</f>
        <v/>
      </c>
      <c r="M332" s="16"/>
      <c r="N332" s="16"/>
    </row>
    <row r="333" spans="1:14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6"/>
      <c r="L333" s="15" t="str">
        <f>IF(E333="","",IFERROR(INDEX(Aliases!$B$5:$B$80,MATCH(1,INDEX(ISNUMBER(SEARCH(Aliases!$A$5:$A$80,E333))*(Aliases!$A$5:$A$80&lt;&gt;""),0),0)),"UNMATCHED"))</f>
        <v/>
      </c>
      <c r="M333" s="16"/>
      <c r="N333" s="16"/>
    </row>
    <row r="334" spans="1:14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6"/>
      <c r="L334" s="15" t="str">
        <f>IF(E334="","",IFERROR(INDEX(Aliases!$B$5:$B$80,MATCH(1,INDEX(ISNUMBER(SEARCH(Aliases!$A$5:$A$80,E334))*(Aliases!$A$5:$A$80&lt;&gt;""),0),0)),"UNMATCHED"))</f>
        <v/>
      </c>
      <c r="M334" s="16"/>
      <c r="N334" s="16"/>
    </row>
    <row r="335" spans="1:14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6"/>
      <c r="L335" s="15" t="str">
        <f>IF(E335="","",IFERROR(INDEX(Aliases!$B$5:$B$80,MATCH(1,INDEX(ISNUMBER(SEARCH(Aliases!$A$5:$A$80,E335))*(Aliases!$A$5:$A$80&lt;&gt;""),0),0)),"UNMATCHED"))</f>
        <v/>
      </c>
      <c r="M335" s="16"/>
      <c r="N335" s="16"/>
    </row>
    <row r="336" spans="1:14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6"/>
      <c r="L336" s="15" t="str">
        <f>IF(E336="","",IFERROR(INDEX(Aliases!$B$5:$B$80,MATCH(1,INDEX(ISNUMBER(SEARCH(Aliases!$A$5:$A$80,E336))*(Aliases!$A$5:$A$80&lt;&gt;""),0),0)),"UNMATCHED"))</f>
        <v/>
      </c>
      <c r="M336" s="16"/>
      <c r="N336" s="16"/>
    </row>
    <row r="337" spans="1:14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6"/>
      <c r="L337" s="15" t="str">
        <f>IF(E337="","",IFERROR(INDEX(Aliases!$B$5:$B$80,MATCH(1,INDEX(ISNUMBER(SEARCH(Aliases!$A$5:$A$80,E337))*(Aliases!$A$5:$A$80&lt;&gt;""),0),0)),"UNMATCHED"))</f>
        <v/>
      </c>
      <c r="M337" s="16"/>
      <c r="N337" s="16"/>
    </row>
    <row r="338" spans="1:14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6"/>
      <c r="L338" s="15" t="str">
        <f>IF(E338="","",IFERROR(INDEX(Aliases!$B$5:$B$80,MATCH(1,INDEX(ISNUMBER(SEARCH(Aliases!$A$5:$A$80,E338))*(Aliases!$A$5:$A$80&lt;&gt;""),0),0)),"UNMATCHED"))</f>
        <v/>
      </c>
      <c r="M338" s="16"/>
      <c r="N338" s="16"/>
    </row>
    <row r="339" spans="1:14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6"/>
      <c r="L339" s="15" t="str">
        <f>IF(E339="","",IFERROR(INDEX(Aliases!$B$5:$B$80,MATCH(1,INDEX(ISNUMBER(SEARCH(Aliases!$A$5:$A$80,E339))*(Aliases!$A$5:$A$80&lt;&gt;""),0),0)),"UNMATCHED"))</f>
        <v/>
      </c>
      <c r="M339" s="16"/>
      <c r="N339" s="16"/>
    </row>
    <row r="340" spans="1:14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6"/>
      <c r="L340" s="15" t="str">
        <f>IF(E340="","",IFERROR(INDEX(Aliases!$B$5:$B$80,MATCH(1,INDEX(ISNUMBER(SEARCH(Aliases!$A$5:$A$80,E340))*(Aliases!$A$5:$A$80&lt;&gt;""),0),0)),"UNMATCHED"))</f>
        <v/>
      </c>
      <c r="M340" s="16"/>
      <c r="N340" s="16"/>
    </row>
    <row r="341" spans="1:14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6"/>
      <c r="L341" s="15" t="str">
        <f>IF(E341="","",IFERROR(INDEX(Aliases!$B$5:$B$80,MATCH(1,INDEX(ISNUMBER(SEARCH(Aliases!$A$5:$A$80,E341))*(Aliases!$A$5:$A$80&lt;&gt;""),0),0)),"UNMATCHED"))</f>
        <v/>
      </c>
      <c r="M341" s="16"/>
      <c r="N341" s="16"/>
    </row>
    <row r="342" spans="1:14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6"/>
      <c r="L342" s="15" t="str">
        <f>IF(E342="","",IFERROR(INDEX(Aliases!$B$5:$B$80,MATCH(1,INDEX(ISNUMBER(SEARCH(Aliases!$A$5:$A$80,E342))*(Aliases!$A$5:$A$80&lt;&gt;""),0),0)),"UNMATCHED"))</f>
        <v/>
      </c>
      <c r="M342" s="16"/>
      <c r="N342" s="16"/>
    </row>
    <row r="343" spans="1:14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6"/>
      <c r="L343" s="15" t="str">
        <f>IF(E343="","",IFERROR(INDEX(Aliases!$B$5:$B$80,MATCH(1,INDEX(ISNUMBER(SEARCH(Aliases!$A$5:$A$80,E343))*(Aliases!$A$5:$A$80&lt;&gt;""),0),0)),"UNMATCHED"))</f>
        <v/>
      </c>
      <c r="M343" s="16"/>
      <c r="N343" s="16"/>
    </row>
    <row r="344" spans="1:14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6"/>
      <c r="L344" s="15" t="str">
        <f>IF(E344="","",IFERROR(INDEX(Aliases!$B$5:$B$80,MATCH(1,INDEX(ISNUMBER(SEARCH(Aliases!$A$5:$A$80,E344))*(Aliases!$A$5:$A$80&lt;&gt;""),0),0)),"UNMATCHED"))</f>
        <v/>
      </c>
      <c r="M344" s="16"/>
      <c r="N344" s="16"/>
    </row>
    <row r="345" spans="1:14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6"/>
      <c r="L345" s="15" t="str">
        <f>IF(E345="","",IFERROR(INDEX(Aliases!$B$5:$B$80,MATCH(1,INDEX(ISNUMBER(SEARCH(Aliases!$A$5:$A$80,E345))*(Aliases!$A$5:$A$80&lt;&gt;""),0),0)),"UNMATCHED"))</f>
        <v/>
      </c>
      <c r="M345" s="16"/>
      <c r="N345" s="16"/>
    </row>
    <row r="346" spans="1:14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6"/>
      <c r="L346" s="15" t="str">
        <f>IF(E346="","",IFERROR(INDEX(Aliases!$B$5:$B$80,MATCH(1,INDEX(ISNUMBER(SEARCH(Aliases!$A$5:$A$80,E346))*(Aliases!$A$5:$A$80&lt;&gt;""),0),0)),"UNMATCHED"))</f>
        <v/>
      </c>
      <c r="M346" s="16"/>
      <c r="N346" s="16"/>
    </row>
    <row r="347" spans="1:14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6"/>
      <c r="L347" s="15" t="str">
        <f>IF(E347="","",IFERROR(INDEX(Aliases!$B$5:$B$80,MATCH(1,INDEX(ISNUMBER(SEARCH(Aliases!$A$5:$A$80,E347))*(Aliases!$A$5:$A$80&lt;&gt;""),0),0)),"UNMATCHED"))</f>
        <v/>
      </c>
      <c r="M347" s="16"/>
      <c r="N347" s="16"/>
    </row>
    <row r="348" spans="1:14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6"/>
      <c r="L348" s="15" t="str">
        <f>IF(E348="","",IFERROR(INDEX(Aliases!$B$5:$B$80,MATCH(1,INDEX(ISNUMBER(SEARCH(Aliases!$A$5:$A$80,E348))*(Aliases!$A$5:$A$80&lt;&gt;""),0),0)),"UNMATCHED"))</f>
        <v/>
      </c>
      <c r="M348" s="16"/>
      <c r="N348" s="16"/>
    </row>
    <row r="349" spans="1:14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6"/>
      <c r="L349" s="15" t="str">
        <f>IF(E349="","",IFERROR(INDEX(Aliases!$B$5:$B$80,MATCH(1,INDEX(ISNUMBER(SEARCH(Aliases!$A$5:$A$80,E349))*(Aliases!$A$5:$A$80&lt;&gt;""),0),0)),"UNMATCHED"))</f>
        <v/>
      </c>
      <c r="M349" s="16"/>
      <c r="N349" s="16"/>
    </row>
    <row r="350" spans="1:14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6"/>
      <c r="L350" s="15" t="str">
        <f>IF(E350="","",IFERROR(INDEX(Aliases!$B$5:$B$80,MATCH(1,INDEX(ISNUMBER(SEARCH(Aliases!$A$5:$A$80,E350))*(Aliases!$A$5:$A$80&lt;&gt;""),0),0)),"UNMATCHED"))</f>
        <v/>
      </c>
      <c r="M350" s="16"/>
      <c r="N350" s="16"/>
    </row>
    <row r="351" spans="1:14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6"/>
      <c r="L351" s="15" t="str">
        <f>IF(E351="","",IFERROR(INDEX(Aliases!$B$5:$B$80,MATCH(1,INDEX(ISNUMBER(SEARCH(Aliases!$A$5:$A$80,E351))*(Aliases!$A$5:$A$80&lt;&gt;""),0),0)),"UNMATCHED"))</f>
        <v/>
      </c>
      <c r="M351" s="16"/>
      <c r="N351" s="16"/>
    </row>
    <row r="352" spans="1:14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6"/>
      <c r="L352" s="15" t="str">
        <f>IF(E352="","",IFERROR(INDEX(Aliases!$B$5:$B$80,MATCH(1,INDEX(ISNUMBER(SEARCH(Aliases!$A$5:$A$80,E352))*(Aliases!$A$5:$A$80&lt;&gt;""),0),0)),"UNMATCHED"))</f>
        <v/>
      </c>
      <c r="M352" s="16"/>
      <c r="N352" s="16"/>
    </row>
    <row r="353" spans="1:14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6"/>
      <c r="L353" s="15" t="str">
        <f>IF(E353="","",IFERROR(INDEX(Aliases!$B$5:$B$80,MATCH(1,INDEX(ISNUMBER(SEARCH(Aliases!$A$5:$A$80,E353))*(Aliases!$A$5:$A$80&lt;&gt;""),0),0)),"UNMATCHED"))</f>
        <v/>
      </c>
      <c r="M353" s="16"/>
      <c r="N353" s="16"/>
    </row>
    <row r="354" spans="1:14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6"/>
      <c r="L354" s="15" t="str">
        <f>IF(E354="","",IFERROR(INDEX(Aliases!$B$5:$B$80,MATCH(1,INDEX(ISNUMBER(SEARCH(Aliases!$A$5:$A$80,E354))*(Aliases!$A$5:$A$80&lt;&gt;""),0),0)),"UNMATCHED"))</f>
        <v/>
      </c>
      <c r="M354" s="16"/>
      <c r="N354" s="16"/>
    </row>
    <row r="355" spans="1:14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6"/>
      <c r="L355" s="15" t="str">
        <f>IF(E355="","",IFERROR(INDEX(Aliases!$B$5:$B$80,MATCH(1,INDEX(ISNUMBER(SEARCH(Aliases!$A$5:$A$80,E355))*(Aliases!$A$5:$A$80&lt;&gt;""),0),0)),"UNMATCHED"))</f>
        <v/>
      </c>
      <c r="M355" s="16"/>
      <c r="N355" s="16"/>
    </row>
    <row r="356" spans="1:14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6"/>
      <c r="L356" s="15" t="str">
        <f>IF(E356="","",IFERROR(INDEX(Aliases!$B$5:$B$80,MATCH(1,INDEX(ISNUMBER(SEARCH(Aliases!$A$5:$A$80,E356))*(Aliases!$A$5:$A$80&lt;&gt;""),0),0)),"UNMATCHED"))</f>
        <v/>
      </c>
      <c r="M356" s="16"/>
      <c r="N356" s="16"/>
    </row>
    <row r="357" spans="1:14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6"/>
      <c r="L357" s="15" t="str">
        <f>IF(E357="","",IFERROR(INDEX(Aliases!$B$5:$B$80,MATCH(1,INDEX(ISNUMBER(SEARCH(Aliases!$A$5:$A$80,E357))*(Aliases!$A$5:$A$80&lt;&gt;""),0),0)),"UNMATCHED"))</f>
        <v/>
      </c>
      <c r="M357" s="16"/>
      <c r="N357" s="16"/>
    </row>
    <row r="358" spans="1:14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6"/>
      <c r="L358" s="15" t="str">
        <f>IF(E358="","",IFERROR(INDEX(Aliases!$B$5:$B$80,MATCH(1,INDEX(ISNUMBER(SEARCH(Aliases!$A$5:$A$80,E358))*(Aliases!$A$5:$A$80&lt;&gt;""),0),0)),"UNMATCHED"))</f>
        <v/>
      </c>
      <c r="M358" s="16"/>
      <c r="N358" s="16"/>
    </row>
    <row r="359" spans="1:14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6"/>
      <c r="L359" s="15" t="str">
        <f>IF(E359="","",IFERROR(INDEX(Aliases!$B$5:$B$80,MATCH(1,INDEX(ISNUMBER(SEARCH(Aliases!$A$5:$A$80,E359))*(Aliases!$A$5:$A$80&lt;&gt;""),0),0)),"UNMATCHED"))</f>
        <v/>
      </c>
      <c r="M359" s="16"/>
      <c r="N359" s="16"/>
    </row>
    <row r="360" spans="1:14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6"/>
      <c r="L360" s="15" t="str">
        <f>IF(E360="","",IFERROR(INDEX(Aliases!$B$5:$B$80,MATCH(1,INDEX(ISNUMBER(SEARCH(Aliases!$A$5:$A$80,E360))*(Aliases!$A$5:$A$80&lt;&gt;""),0),0)),"UNMATCHED"))</f>
        <v/>
      </c>
      <c r="M360" s="16"/>
      <c r="N360" s="16"/>
    </row>
    <row r="361" spans="1:14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6"/>
      <c r="L361" s="15" t="str">
        <f>IF(E361="","",IFERROR(INDEX(Aliases!$B$5:$B$80,MATCH(1,INDEX(ISNUMBER(SEARCH(Aliases!$A$5:$A$80,E361))*(Aliases!$A$5:$A$80&lt;&gt;""),0),0)),"UNMATCHED"))</f>
        <v/>
      </c>
      <c r="M361" s="16"/>
      <c r="N361" s="16"/>
    </row>
    <row r="362" spans="1:14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6"/>
      <c r="L362" s="15" t="str">
        <f>IF(E362="","",IFERROR(INDEX(Aliases!$B$5:$B$80,MATCH(1,INDEX(ISNUMBER(SEARCH(Aliases!$A$5:$A$80,E362))*(Aliases!$A$5:$A$80&lt;&gt;""),0),0)),"UNMATCHED"))</f>
        <v/>
      </c>
      <c r="M362" s="16"/>
      <c r="N362" s="16"/>
    </row>
    <row r="363" spans="1:14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6"/>
      <c r="L363" s="15" t="str">
        <f>IF(E363="","",IFERROR(INDEX(Aliases!$B$5:$B$80,MATCH(1,INDEX(ISNUMBER(SEARCH(Aliases!$A$5:$A$80,E363))*(Aliases!$A$5:$A$80&lt;&gt;""),0),0)),"UNMATCHED"))</f>
        <v/>
      </c>
      <c r="M363" s="16"/>
      <c r="N363" s="16"/>
    </row>
    <row r="364" spans="1:14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6"/>
      <c r="L364" s="15" t="str">
        <f>IF(E364="","",IFERROR(INDEX(Aliases!$B$5:$B$80,MATCH(1,INDEX(ISNUMBER(SEARCH(Aliases!$A$5:$A$80,E364))*(Aliases!$A$5:$A$80&lt;&gt;""),0),0)),"UNMATCHED"))</f>
        <v/>
      </c>
      <c r="M364" s="16"/>
      <c r="N364" s="16"/>
    </row>
    <row r="365" spans="1:14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6"/>
      <c r="L365" s="15" t="str">
        <f>IF(E365="","",IFERROR(INDEX(Aliases!$B$5:$B$80,MATCH(1,INDEX(ISNUMBER(SEARCH(Aliases!$A$5:$A$80,E365))*(Aliases!$A$5:$A$80&lt;&gt;""),0),0)),"UNMATCHED"))</f>
        <v/>
      </c>
      <c r="M365" s="16"/>
      <c r="N365" s="16"/>
    </row>
    <row r="366" spans="1:14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6"/>
      <c r="L366" s="15" t="str">
        <f>IF(E366="","",IFERROR(INDEX(Aliases!$B$5:$B$80,MATCH(1,INDEX(ISNUMBER(SEARCH(Aliases!$A$5:$A$80,E366))*(Aliases!$A$5:$A$80&lt;&gt;""),0),0)),"UNMATCHED"))</f>
        <v/>
      </c>
      <c r="M366" s="16"/>
      <c r="N366" s="16"/>
    </row>
    <row r="367" spans="1:14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6"/>
      <c r="L367" s="15" t="str">
        <f>IF(E367="","",IFERROR(INDEX(Aliases!$B$5:$B$80,MATCH(1,INDEX(ISNUMBER(SEARCH(Aliases!$A$5:$A$80,E367))*(Aliases!$A$5:$A$80&lt;&gt;""),0),0)),"UNMATCHED"))</f>
        <v/>
      </c>
      <c r="M367" s="16"/>
      <c r="N367" s="16"/>
    </row>
    <row r="368" spans="1:14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6"/>
      <c r="L368" s="15" t="str">
        <f>IF(E368="","",IFERROR(INDEX(Aliases!$B$5:$B$80,MATCH(1,INDEX(ISNUMBER(SEARCH(Aliases!$A$5:$A$80,E368))*(Aliases!$A$5:$A$80&lt;&gt;""),0),0)),"UNMATCHED"))</f>
        <v/>
      </c>
      <c r="M368" s="16"/>
      <c r="N368" s="16"/>
    </row>
    <row r="369" spans="1:14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6"/>
      <c r="L369" s="15" t="str">
        <f>IF(E369="","",IFERROR(INDEX(Aliases!$B$5:$B$80,MATCH(1,INDEX(ISNUMBER(SEARCH(Aliases!$A$5:$A$80,E369))*(Aliases!$A$5:$A$80&lt;&gt;""),0),0)),"UNMATCHED"))</f>
        <v/>
      </c>
      <c r="M369" s="16"/>
      <c r="N369" s="16"/>
    </row>
    <row r="370" spans="1:14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6"/>
      <c r="L370" s="15" t="str">
        <f>IF(E370="","",IFERROR(INDEX(Aliases!$B$5:$B$80,MATCH(1,INDEX(ISNUMBER(SEARCH(Aliases!$A$5:$A$80,E370))*(Aliases!$A$5:$A$80&lt;&gt;""),0),0)),"UNMATCHED"))</f>
        <v/>
      </c>
      <c r="M370" s="16"/>
      <c r="N370" s="16"/>
    </row>
    <row r="371" spans="1:14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6"/>
      <c r="L371" s="15" t="str">
        <f>IF(E371="","",IFERROR(INDEX(Aliases!$B$5:$B$80,MATCH(1,INDEX(ISNUMBER(SEARCH(Aliases!$A$5:$A$80,E371))*(Aliases!$A$5:$A$80&lt;&gt;""),0),0)),"UNMATCHED"))</f>
        <v/>
      </c>
      <c r="M371" s="16"/>
      <c r="N371" s="16"/>
    </row>
    <row r="372" spans="1:14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6"/>
      <c r="L372" s="15" t="str">
        <f>IF(E372="","",IFERROR(INDEX(Aliases!$B$5:$B$80,MATCH(1,INDEX(ISNUMBER(SEARCH(Aliases!$A$5:$A$80,E372))*(Aliases!$A$5:$A$80&lt;&gt;""),0),0)),"UNMATCHED"))</f>
        <v/>
      </c>
      <c r="M372" s="16"/>
      <c r="N372" s="16"/>
    </row>
    <row r="373" spans="1:14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6"/>
      <c r="L373" s="15" t="str">
        <f>IF(E373="","",IFERROR(INDEX(Aliases!$B$5:$B$80,MATCH(1,INDEX(ISNUMBER(SEARCH(Aliases!$A$5:$A$80,E373))*(Aliases!$A$5:$A$80&lt;&gt;""),0),0)),"UNMATCHED"))</f>
        <v/>
      </c>
      <c r="M373" s="16"/>
      <c r="N373" s="16"/>
    </row>
    <row r="374" spans="1:14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6"/>
      <c r="L374" s="15" t="str">
        <f>IF(E374="","",IFERROR(INDEX(Aliases!$B$5:$B$80,MATCH(1,INDEX(ISNUMBER(SEARCH(Aliases!$A$5:$A$80,E374))*(Aliases!$A$5:$A$80&lt;&gt;""),0),0)),"UNMATCHED"))</f>
        <v/>
      </c>
      <c r="M374" s="16"/>
      <c r="N374" s="16"/>
    </row>
    <row r="375" spans="1:14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6"/>
      <c r="L375" s="15" t="str">
        <f>IF(E375="","",IFERROR(INDEX(Aliases!$B$5:$B$80,MATCH(1,INDEX(ISNUMBER(SEARCH(Aliases!$A$5:$A$80,E375))*(Aliases!$A$5:$A$80&lt;&gt;""),0),0)),"UNMATCHED"))</f>
        <v/>
      </c>
      <c r="M375" s="16"/>
      <c r="N375" s="16"/>
    </row>
    <row r="376" spans="1:14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6"/>
      <c r="L376" s="15" t="str">
        <f>IF(E376="","",IFERROR(INDEX(Aliases!$B$5:$B$80,MATCH(1,INDEX(ISNUMBER(SEARCH(Aliases!$A$5:$A$80,E376))*(Aliases!$A$5:$A$80&lt;&gt;""),0),0)),"UNMATCHED"))</f>
        <v/>
      </c>
      <c r="M376" s="16"/>
      <c r="N376" s="16"/>
    </row>
    <row r="377" spans="1:14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6"/>
      <c r="L377" s="15" t="str">
        <f>IF(E377="","",IFERROR(INDEX(Aliases!$B$5:$B$80,MATCH(1,INDEX(ISNUMBER(SEARCH(Aliases!$A$5:$A$80,E377))*(Aliases!$A$5:$A$80&lt;&gt;""),0),0)),"UNMATCHED"))</f>
        <v/>
      </c>
      <c r="M377" s="16"/>
      <c r="N377" s="16"/>
    </row>
    <row r="378" spans="1:14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6"/>
      <c r="L378" s="15" t="str">
        <f>IF(E378="","",IFERROR(INDEX(Aliases!$B$5:$B$80,MATCH(1,INDEX(ISNUMBER(SEARCH(Aliases!$A$5:$A$80,E378))*(Aliases!$A$5:$A$80&lt;&gt;""),0),0)),"UNMATCHED"))</f>
        <v/>
      </c>
      <c r="M378" s="16"/>
      <c r="N378" s="16"/>
    </row>
    <row r="379" spans="1:14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6"/>
      <c r="L379" s="15" t="str">
        <f>IF(E379="","",IFERROR(INDEX(Aliases!$B$5:$B$80,MATCH(1,INDEX(ISNUMBER(SEARCH(Aliases!$A$5:$A$80,E379))*(Aliases!$A$5:$A$80&lt;&gt;""),0),0)),"UNMATCHED"))</f>
        <v/>
      </c>
      <c r="M379" s="16"/>
      <c r="N379" s="16"/>
    </row>
    <row r="380" spans="1:14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6"/>
      <c r="L380" s="15" t="str">
        <f>IF(E380="","",IFERROR(INDEX(Aliases!$B$5:$B$80,MATCH(1,INDEX(ISNUMBER(SEARCH(Aliases!$A$5:$A$80,E380))*(Aliases!$A$5:$A$80&lt;&gt;""),0),0)),"UNMATCHED"))</f>
        <v/>
      </c>
      <c r="M380" s="16"/>
      <c r="N380" s="16"/>
    </row>
    <row r="381" spans="1:14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6"/>
      <c r="L381" s="15" t="str">
        <f>IF(E381="","",IFERROR(INDEX(Aliases!$B$5:$B$80,MATCH(1,INDEX(ISNUMBER(SEARCH(Aliases!$A$5:$A$80,E381))*(Aliases!$A$5:$A$80&lt;&gt;""),0),0)),"UNMATCHED"))</f>
        <v/>
      </c>
      <c r="M381" s="16"/>
      <c r="N381" s="16"/>
    </row>
    <row r="382" spans="1:14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6"/>
      <c r="L382" s="15" t="str">
        <f>IF(E382="","",IFERROR(INDEX(Aliases!$B$5:$B$80,MATCH(1,INDEX(ISNUMBER(SEARCH(Aliases!$A$5:$A$80,E382))*(Aliases!$A$5:$A$80&lt;&gt;""),0),0)),"UNMATCHED"))</f>
        <v/>
      </c>
      <c r="M382" s="16"/>
      <c r="N382" s="16"/>
    </row>
    <row r="383" spans="1:14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6"/>
      <c r="L383" s="15" t="str">
        <f>IF(E383="","",IFERROR(INDEX(Aliases!$B$5:$B$80,MATCH(1,INDEX(ISNUMBER(SEARCH(Aliases!$A$5:$A$80,E383))*(Aliases!$A$5:$A$80&lt;&gt;""),0),0)),"UNMATCHED"))</f>
        <v/>
      </c>
      <c r="M383" s="16"/>
      <c r="N383" s="16"/>
    </row>
    <row r="384" spans="1:14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6"/>
      <c r="L384" s="15" t="str">
        <f>IF(E384="","",IFERROR(INDEX(Aliases!$B$5:$B$80,MATCH(1,INDEX(ISNUMBER(SEARCH(Aliases!$A$5:$A$80,E384))*(Aliases!$A$5:$A$80&lt;&gt;""),0),0)),"UNMATCHED"))</f>
        <v/>
      </c>
      <c r="M384" s="16"/>
      <c r="N384" s="16"/>
    </row>
    <row r="385" spans="1:14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6"/>
      <c r="L385" s="15" t="str">
        <f>IF(E385="","",IFERROR(INDEX(Aliases!$B$5:$B$80,MATCH(1,INDEX(ISNUMBER(SEARCH(Aliases!$A$5:$A$80,E385))*(Aliases!$A$5:$A$80&lt;&gt;""),0),0)),"UNMATCHED"))</f>
        <v/>
      </c>
      <c r="M385" s="16"/>
      <c r="N385" s="16"/>
    </row>
    <row r="386" spans="1:14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6"/>
      <c r="L386" s="15" t="str">
        <f>IF(E386="","",IFERROR(INDEX(Aliases!$B$5:$B$80,MATCH(1,INDEX(ISNUMBER(SEARCH(Aliases!$A$5:$A$80,E386))*(Aliases!$A$5:$A$80&lt;&gt;""),0),0)),"UNMATCHED"))</f>
        <v/>
      </c>
      <c r="M386" s="16"/>
      <c r="N386" s="16"/>
    </row>
    <row r="387" spans="1:14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6"/>
      <c r="L387" s="15" t="str">
        <f>IF(E387="","",IFERROR(INDEX(Aliases!$B$5:$B$80,MATCH(1,INDEX(ISNUMBER(SEARCH(Aliases!$A$5:$A$80,E387))*(Aliases!$A$5:$A$80&lt;&gt;""),0),0)),"UNMATCHED"))</f>
        <v/>
      </c>
      <c r="M387" s="16"/>
      <c r="N387" s="16"/>
    </row>
    <row r="388" spans="1:14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6"/>
      <c r="L388" s="15" t="str">
        <f>IF(E388="","",IFERROR(INDEX(Aliases!$B$5:$B$80,MATCH(1,INDEX(ISNUMBER(SEARCH(Aliases!$A$5:$A$80,E388))*(Aliases!$A$5:$A$80&lt;&gt;""),0),0)),"UNMATCHED"))</f>
        <v/>
      </c>
      <c r="M388" s="16"/>
      <c r="N388" s="16"/>
    </row>
    <row r="389" spans="1:14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6"/>
      <c r="L389" s="15" t="str">
        <f>IF(E389="","",IFERROR(INDEX(Aliases!$B$5:$B$80,MATCH(1,INDEX(ISNUMBER(SEARCH(Aliases!$A$5:$A$80,E389))*(Aliases!$A$5:$A$80&lt;&gt;""),0),0)),"UNMATCHED"))</f>
        <v/>
      </c>
      <c r="M389" s="16"/>
      <c r="N389" s="16"/>
    </row>
    <row r="390" spans="1:14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6"/>
      <c r="L390" s="15" t="str">
        <f>IF(E390="","",IFERROR(INDEX(Aliases!$B$5:$B$80,MATCH(1,INDEX(ISNUMBER(SEARCH(Aliases!$A$5:$A$80,E390))*(Aliases!$A$5:$A$80&lt;&gt;""),0),0)),"UNMATCHED"))</f>
        <v/>
      </c>
      <c r="M390" s="16"/>
      <c r="N390" s="16"/>
    </row>
    <row r="391" spans="1:14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6"/>
      <c r="L391" s="15" t="str">
        <f>IF(E391="","",IFERROR(INDEX(Aliases!$B$5:$B$80,MATCH(1,INDEX(ISNUMBER(SEARCH(Aliases!$A$5:$A$80,E391))*(Aliases!$A$5:$A$80&lt;&gt;""),0),0)),"UNMATCHED"))</f>
        <v/>
      </c>
      <c r="M391" s="16"/>
      <c r="N391" s="16"/>
    </row>
    <row r="392" spans="1:14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6"/>
      <c r="L392" s="15" t="str">
        <f>IF(E392="","",IFERROR(INDEX(Aliases!$B$5:$B$80,MATCH(1,INDEX(ISNUMBER(SEARCH(Aliases!$A$5:$A$80,E392))*(Aliases!$A$5:$A$80&lt;&gt;""),0),0)),"UNMATCHED"))</f>
        <v/>
      </c>
      <c r="M392" s="16"/>
      <c r="N392" s="16"/>
    </row>
    <row r="393" spans="1:14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6"/>
      <c r="L393" s="15" t="str">
        <f>IF(E393="","",IFERROR(INDEX(Aliases!$B$5:$B$80,MATCH(1,INDEX(ISNUMBER(SEARCH(Aliases!$A$5:$A$80,E393))*(Aliases!$A$5:$A$80&lt;&gt;""),0),0)),"UNMATCHED"))</f>
        <v/>
      </c>
      <c r="M393" s="16"/>
      <c r="N393" s="16"/>
    </row>
    <row r="394" spans="1:14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6"/>
      <c r="L394" s="15" t="str">
        <f>IF(E394="","",IFERROR(INDEX(Aliases!$B$5:$B$80,MATCH(1,INDEX(ISNUMBER(SEARCH(Aliases!$A$5:$A$80,E394))*(Aliases!$A$5:$A$80&lt;&gt;""),0),0)),"UNMATCHED"))</f>
        <v/>
      </c>
      <c r="M394" s="16"/>
      <c r="N394" s="16"/>
    </row>
    <row r="395" spans="1:14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6"/>
      <c r="L395" s="15" t="str">
        <f>IF(E395="","",IFERROR(INDEX(Aliases!$B$5:$B$80,MATCH(1,INDEX(ISNUMBER(SEARCH(Aliases!$A$5:$A$80,E395))*(Aliases!$A$5:$A$80&lt;&gt;""),0),0)),"UNMATCHED"))</f>
        <v/>
      </c>
      <c r="M395" s="16"/>
      <c r="N395" s="16"/>
    </row>
    <row r="396" spans="1:14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6"/>
      <c r="L396" s="15" t="str">
        <f>IF(E396="","",IFERROR(INDEX(Aliases!$B$5:$B$80,MATCH(1,INDEX(ISNUMBER(SEARCH(Aliases!$A$5:$A$80,E396))*(Aliases!$A$5:$A$80&lt;&gt;""),0),0)),"UNMATCHED"))</f>
        <v/>
      </c>
      <c r="M396" s="16"/>
      <c r="N396" s="16"/>
    </row>
    <row r="397" spans="1:14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6"/>
      <c r="L397" s="15" t="str">
        <f>IF(E397="","",IFERROR(INDEX(Aliases!$B$5:$B$80,MATCH(1,INDEX(ISNUMBER(SEARCH(Aliases!$A$5:$A$80,E397))*(Aliases!$A$5:$A$80&lt;&gt;""),0),0)),"UNMATCHED"))</f>
        <v/>
      </c>
      <c r="M397" s="16"/>
      <c r="N397" s="16"/>
    </row>
    <row r="398" spans="1:14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6"/>
      <c r="L398" s="15" t="str">
        <f>IF(E398="","",IFERROR(INDEX(Aliases!$B$5:$B$80,MATCH(1,INDEX(ISNUMBER(SEARCH(Aliases!$A$5:$A$80,E398))*(Aliases!$A$5:$A$80&lt;&gt;""),0),0)),"UNMATCHED"))</f>
        <v/>
      </c>
      <c r="M398" s="16"/>
      <c r="N398" s="16"/>
    </row>
    <row r="399" spans="1:14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6"/>
      <c r="L399" s="15" t="str">
        <f>IF(E399="","",IFERROR(INDEX(Aliases!$B$5:$B$80,MATCH(1,INDEX(ISNUMBER(SEARCH(Aliases!$A$5:$A$80,E399))*(Aliases!$A$5:$A$80&lt;&gt;""),0),0)),"UNMATCHED"))</f>
        <v/>
      </c>
      <c r="M399" s="16"/>
      <c r="N399" s="16"/>
    </row>
    <row r="400" spans="1:14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6"/>
      <c r="L400" s="15" t="str">
        <f>IF(E400="","",IFERROR(INDEX(Aliases!$B$5:$B$80,MATCH(1,INDEX(ISNUMBER(SEARCH(Aliases!$A$5:$A$80,E400))*(Aliases!$A$5:$A$80&lt;&gt;""),0),0)),"UNMATCHED"))</f>
        <v/>
      </c>
      <c r="M400" s="16"/>
      <c r="N400" s="16"/>
    </row>
    <row r="401" spans="1:14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6"/>
      <c r="L401" s="15" t="str">
        <f>IF(E401="","",IFERROR(INDEX(Aliases!$B$5:$B$80,MATCH(1,INDEX(ISNUMBER(SEARCH(Aliases!$A$5:$A$80,E401))*(Aliases!$A$5:$A$80&lt;&gt;""),0),0)),"UNMATCHED"))</f>
        <v/>
      </c>
      <c r="M401" s="16"/>
      <c r="N401" s="16"/>
    </row>
    <row r="402" spans="1:14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6"/>
      <c r="L402" s="15" t="str">
        <f>IF(E402="","",IFERROR(INDEX(Aliases!$B$5:$B$80,MATCH(1,INDEX(ISNUMBER(SEARCH(Aliases!$A$5:$A$80,E402))*(Aliases!$A$5:$A$80&lt;&gt;""),0),0)),"UNMATCHED"))</f>
        <v/>
      </c>
      <c r="M402" s="16"/>
      <c r="N402" s="16"/>
    </row>
    <row r="403" spans="1:14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6"/>
      <c r="L403" s="15" t="str">
        <f>IF(E403="","",IFERROR(INDEX(Aliases!$B$5:$B$80,MATCH(1,INDEX(ISNUMBER(SEARCH(Aliases!$A$5:$A$80,E403))*(Aliases!$A$5:$A$80&lt;&gt;""),0),0)),"UNMATCHED"))</f>
        <v/>
      </c>
      <c r="M403" s="16"/>
      <c r="N403" s="16"/>
    </row>
    <row r="404" spans="1:14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6"/>
      <c r="L404" s="15" t="str">
        <f>IF(E404="","",IFERROR(INDEX(Aliases!$B$5:$B$80,MATCH(1,INDEX(ISNUMBER(SEARCH(Aliases!$A$5:$A$80,E404))*(Aliases!$A$5:$A$80&lt;&gt;""),0),0)),"UNMATCHED"))</f>
        <v/>
      </c>
      <c r="M404" s="16"/>
      <c r="N404" s="16"/>
    </row>
    <row r="405" spans="1:14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6"/>
      <c r="L405" s="15" t="str">
        <f>IF(E405="","",IFERROR(INDEX(Aliases!$B$5:$B$80,MATCH(1,INDEX(ISNUMBER(SEARCH(Aliases!$A$5:$A$80,E405))*(Aliases!$A$5:$A$80&lt;&gt;""),0),0)),"UNMATCHED"))</f>
        <v/>
      </c>
      <c r="M405" s="16"/>
      <c r="N405" s="16"/>
    </row>
    <row r="406" spans="1:14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6"/>
      <c r="L406" s="15" t="str">
        <f>IF(E406="","",IFERROR(INDEX(Aliases!$B$5:$B$80,MATCH(1,INDEX(ISNUMBER(SEARCH(Aliases!$A$5:$A$80,E406))*(Aliases!$A$5:$A$80&lt;&gt;""),0),0)),"UNMATCHED"))</f>
        <v/>
      </c>
      <c r="M406" s="16"/>
      <c r="N406" s="16"/>
    </row>
    <row r="407" spans="1:14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6"/>
      <c r="L407" s="15" t="str">
        <f>IF(E407="","",IFERROR(INDEX(Aliases!$B$5:$B$80,MATCH(1,INDEX(ISNUMBER(SEARCH(Aliases!$A$5:$A$80,E407))*(Aliases!$A$5:$A$80&lt;&gt;""),0),0)),"UNMATCHED"))</f>
        <v/>
      </c>
      <c r="M407" s="16"/>
      <c r="N407" s="16"/>
    </row>
    <row r="408" spans="1:14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6"/>
      <c r="L408" s="15" t="str">
        <f>IF(E408="","",IFERROR(INDEX(Aliases!$B$5:$B$80,MATCH(1,INDEX(ISNUMBER(SEARCH(Aliases!$A$5:$A$80,E408))*(Aliases!$A$5:$A$80&lt;&gt;""),0),0)),"UNMATCHED"))</f>
        <v/>
      </c>
      <c r="M408" s="16"/>
      <c r="N408" s="16"/>
    </row>
    <row r="409" spans="1:14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6"/>
      <c r="L409" s="15" t="str">
        <f>IF(E409="","",IFERROR(INDEX(Aliases!$B$5:$B$80,MATCH(1,INDEX(ISNUMBER(SEARCH(Aliases!$A$5:$A$80,E409))*(Aliases!$A$5:$A$80&lt;&gt;""),0),0)),"UNMATCHED"))</f>
        <v/>
      </c>
      <c r="M409" s="16"/>
      <c r="N409" s="16"/>
    </row>
    <row r="410" spans="1:14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6"/>
      <c r="L410" s="15" t="str">
        <f>IF(E410="","",IFERROR(INDEX(Aliases!$B$5:$B$80,MATCH(1,INDEX(ISNUMBER(SEARCH(Aliases!$A$5:$A$80,E410))*(Aliases!$A$5:$A$80&lt;&gt;""),0),0)),"UNMATCHED"))</f>
        <v/>
      </c>
      <c r="M410" s="16"/>
      <c r="N410" s="16"/>
    </row>
    <row r="411" spans="1:14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6"/>
      <c r="L411" s="15" t="str">
        <f>IF(E411="","",IFERROR(INDEX(Aliases!$B$5:$B$80,MATCH(1,INDEX(ISNUMBER(SEARCH(Aliases!$A$5:$A$80,E411))*(Aliases!$A$5:$A$80&lt;&gt;""),0),0)),"UNMATCHED"))</f>
        <v/>
      </c>
      <c r="M411" s="16"/>
      <c r="N411" s="16"/>
    </row>
    <row r="412" spans="1:14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6"/>
      <c r="L412" s="15" t="str">
        <f>IF(E412="","",IFERROR(INDEX(Aliases!$B$5:$B$80,MATCH(1,INDEX(ISNUMBER(SEARCH(Aliases!$A$5:$A$80,E412))*(Aliases!$A$5:$A$80&lt;&gt;""),0),0)),"UNMATCHED"))</f>
        <v/>
      </c>
      <c r="M412" s="16"/>
      <c r="N412" s="16"/>
    </row>
    <row r="413" spans="1:14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6"/>
      <c r="L413" s="15" t="str">
        <f>IF(E413="","",IFERROR(INDEX(Aliases!$B$5:$B$80,MATCH(1,INDEX(ISNUMBER(SEARCH(Aliases!$A$5:$A$80,E413))*(Aliases!$A$5:$A$80&lt;&gt;""),0),0)),"UNMATCHED"))</f>
        <v/>
      </c>
      <c r="M413" s="16"/>
      <c r="N413" s="16"/>
    </row>
    <row r="414" spans="1:14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6"/>
      <c r="L414" s="15" t="str">
        <f>IF(E414="","",IFERROR(INDEX(Aliases!$B$5:$B$80,MATCH(1,INDEX(ISNUMBER(SEARCH(Aliases!$A$5:$A$80,E414))*(Aliases!$A$5:$A$80&lt;&gt;""),0),0)),"UNMATCHED"))</f>
        <v/>
      </c>
      <c r="M414" s="16"/>
      <c r="N414" s="16"/>
    </row>
    <row r="415" spans="1:14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6"/>
      <c r="L415" s="15" t="str">
        <f>IF(E415="","",IFERROR(INDEX(Aliases!$B$5:$B$80,MATCH(1,INDEX(ISNUMBER(SEARCH(Aliases!$A$5:$A$80,E415))*(Aliases!$A$5:$A$80&lt;&gt;""),0),0)),"UNMATCHED"))</f>
        <v/>
      </c>
      <c r="M415" s="16"/>
      <c r="N415" s="16"/>
    </row>
    <row r="416" spans="1:14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6"/>
      <c r="L416" s="15" t="str">
        <f>IF(E416="","",IFERROR(INDEX(Aliases!$B$5:$B$80,MATCH(1,INDEX(ISNUMBER(SEARCH(Aliases!$A$5:$A$80,E416))*(Aliases!$A$5:$A$80&lt;&gt;""),0),0)),"UNMATCHED"))</f>
        <v/>
      </c>
      <c r="M416" s="16"/>
      <c r="N416" s="16"/>
    </row>
    <row r="417" spans="1:14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6"/>
      <c r="L417" s="15" t="str">
        <f>IF(E417="","",IFERROR(INDEX(Aliases!$B$5:$B$80,MATCH(1,INDEX(ISNUMBER(SEARCH(Aliases!$A$5:$A$80,E417))*(Aliases!$A$5:$A$80&lt;&gt;""),0),0)),"UNMATCHED"))</f>
        <v/>
      </c>
      <c r="M417" s="16"/>
      <c r="N417" s="16"/>
    </row>
    <row r="418" spans="1:14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6"/>
      <c r="L418" s="15" t="str">
        <f>IF(E418="","",IFERROR(INDEX(Aliases!$B$5:$B$80,MATCH(1,INDEX(ISNUMBER(SEARCH(Aliases!$A$5:$A$80,E418))*(Aliases!$A$5:$A$80&lt;&gt;""),0),0)),"UNMATCHED"))</f>
        <v/>
      </c>
      <c r="M418" s="16"/>
      <c r="N418" s="16"/>
    </row>
    <row r="419" spans="1:14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6"/>
      <c r="L419" s="15" t="str">
        <f>IF(E419="","",IFERROR(INDEX(Aliases!$B$5:$B$80,MATCH(1,INDEX(ISNUMBER(SEARCH(Aliases!$A$5:$A$80,E419))*(Aliases!$A$5:$A$80&lt;&gt;""),0),0)),"UNMATCHED"))</f>
        <v/>
      </c>
      <c r="M419" s="16"/>
      <c r="N419" s="16"/>
    </row>
    <row r="420" spans="1:14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6"/>
      <c r="L420" s="15" t="str">
        <f>IF(E420="","",IFERROR(INDEX(Aliases!$B$5:$B$80,MATCH(1,INDEX(ISNUMBER(SEARCH(Aliases!$A$5:$A$80,E420))*(Aliases!$A$5:$A$80&lt;&gt;""),0),0)),"UNMATCHED"))</f>
        <v/>
      </c>
      <c r="M420" s="16"/>
      <c r="N420" s="16"/>
    </row>
    <row r="421" spans="1:14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6"/>
      <c r="L421" s="15" t="str">
        <f>IF(E421="","",IFERROR(INDEX(Aliases!$B$5:$B$80,MATCH(1,INDEX(ISNUMBER(SEARCH(Aliases!$A$5:$A$80,E421))*(Aliases!$A$5:$A$80&lt;&gt;""),0),0)),"UNMATCHED"))</f>
        <v/>
      </c>
      <c r="M421" s="16"/>
      <c r="N421" s="16"/>
    </row>
    <row r="422" spans="1:14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6"/>
      <c r="L422" s="15" t="str">
        <f>IF(E422="","",IFERROR(INDEX(Aliases!$B$5:$B$80,MATCH(1,INDEX(ISNUMBER(SEARCH(Aliases!$A$5:$A$80,E422))*(Aliases!$A$5:$A$80&lt;&gt;""),0),0)),"UNMATCHED"))</f>
        <v/>
      </c>
      <c r="M422" s="16"/>
      <c r="N422" s="16"/>
    </row>
    <row r="423" spans="1:14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6"/>
      <c r="L423" s="15" t="str">
        <f>IF(E423="","",IFERROR(INDEX(Aliases!$B$5:$B$80,MATCH(1,INDEX(ISNUMBER(SEARCH(Aliases!$A$5:$A$80,E423))*(Aliases!$A$5:$A$80&lt;&gt;""),0),0)),"UNMATCHED"))</f>
        <v/>
      </c>
      <c r="M423" s="16"/>
      <c r="N423" s="16"/>
    </row>
    <row r="424" spans="1:14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6"/>
      <c r="L424" s="15" t="str">
        <f>IF(E424="","",IFERROR(INDEX(Aliases!$B$5:$B$80,MATCH(1,INDEX(ISNUMBER(SEARCH(Aliases!$A$5:$A$80,E424))*(Aliases!$A$5:$A$80&lt;&gt;""),0),0)),"UNMATCHED"))</f>
        <v/>
      </c>
      <c r="M424" s="16"/>
      <c r="N424" s="16"/>
    </row>
    <row r="425" spans="1:14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6"/>
      <c r="L425" s="15" t="str">
        <f>IF(E425="","",IFERROR(INDEX(Aliases!$B$5:$B$80,MATCH(1,INDEX(ISNUMBER(SEARCH(Aliases!$A$5:$A$80,E425))*(Aliases!$A$5:$A$80&lt;&gt;""),0),0)),"UNMATCHED"))</f>
        <v/>
      </c>
      <c r="M425" s="16"/>
      <c r="N425" s="16"/>
    </row>
    <row r="426" spans="1:14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6"/>
      <c r="L426" s="15" t="str">
        <f>IF(E426="","",IFERROR(INDEX(Aliases!$B$5:$B$80,MATCH(1,INDEX(ISNUMBER(SEARCH(Aliases!$A$5:$A$80,E426))*(Aliases!$A$5:$A$80&lt;&gt;""),0),0)),"UNMATCHED"))</f>
        <v/>
      </c>
      <c r="M426" s="16"/>
      <c r="N426" s="16"/>
    </row>
    <row r="427" spans="1:14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6"/>
      <c r="L427" s="15" t="str">
        <f>IF(E427="","",IFERROR(INDEX(Aliases!$B$5:$B$80,MATCH(1,INDEX(ISNUMBER(SEARCH(Aliases!$A$5:$A$80,E427))*(Aliases!$A$5:$A$80&lt;&gt;""),0),0)),"UNMATCHED"))</f>
        <v/>
      </c>
      <c r="M427" s="16"/>
      <c r="N427" s="16"/>
    </row>
    <row r="428" spans="1:14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6"/>
      <c r="L428" s="15" t="str">
        <f>IF(E428="","",IFERROR(INDEX(Aliases!$B$5:$B$80,MATCH(1,INDEX(ISNUMBER(SEARCH(Aliases!$A$5:$A$80,E428))*(Aliases!$A$5:$A$80&lt;&gt;""),0),0)),"UNMATCHED"))</f>
        <v/>
      </c>
      <c r="M428" s="16"/>
      <c r="N428" s="16"/>
    </row>
    <row r="429" spans="1:14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6"/>
      <c r="L429" s="15" t="str">
        <f>IF(E429="","",IFERROR(INDEX(Aliases!$B$5:$B$80,MATCH(1,INDEX(ISNUMBER(SEARCH(Aliases!$A$5:$A$80,E429))*(Aliases!$A$5:$A$80&lt;&gt;""),0),0)),"UNMATCHED"))</f>
        <v/>
      </c>
      <c r="M429" s="16"/>
      <c r="N429" s="16"/>
    </row>
    <row r="430" spans="1:14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6"/>
      <c r="L430" s="15" t="str">
        <f>IF(E430="","",IFERROR(INDEX(Aliases!$B$5:$B$80,MATCH(1,INDEX(ISNUMBER(SEARCH(Aliases!$A$5:$A$80,E430))*(Aliases!$A$5:$A$80&lt;&gt;""),0),0)),"UNMATCHED"))</f>
        <v/>
      </c>
      <c r="M430" s="16"/>
      <c r="N430" s="16"/>
    </row>
    <row r="431" spans="1:14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6"/>
      <c r="L431" s="15" t="str">
        <f>IF(E431="","",IFERROR(INDEX(Aliases!$B$5:$B$80,MATCH(1,INDEX(ISNUMBER(SEARCH(Aliases!$A$5:$A$80,E431))*(Aliases!$A$5:$A$80&lt;&gt;""),0),0)),"UNMATCHED"))</f>
        <v/>
      </c>
      <c r="M431" s="16"/>
      <c r="N431" s="16"/>
    </row>
    <row r="432" spans="1:14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6"/>
      <c r="L432" s="15" t="str">
        <f>IF(E432="","",IFERROR(INDEX(Aliases!$B$5:$B$80,MATCH(1,INDEX(ISNUMBER(SEARCH(Aliases!$A$5:$A$80,E432))*(Aliases!$A$5:$A$80&lt;&gt;""),0),0)),"UNMATCHED"))</f>
        <v/>
      </c>
      <c r="M432" s="16"/>
      <c r="N432" s="16"/>
    </row>
    <row r="433" spans="1:14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6"/>
      <c r="L433" s="15" t="str">
        <f>IF(E433="","",IFERROR(INDEX(Aliases!$B$5:$B$80,MATCH(1,INDEX(ISNUMBER(SEARCH(Aliases!$A$5:$A$80,E433))*(Aliases!$A$5:$A$80&lt;&gt;""),0),0)),"UNMATCHED"))</f>
        <v/>
      </c>
      <c r="M433" s="16"/>
      <c r="N433" s="16"/>
    </row>
    <row r="434" spans="1:14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6"/>
      <c r="L434" s="15" t="str">
        <f>IF(E434="","",IFERROR(INDEX(Aliases!$B$5:$B$80,MATCH(1,INDEX(ISNUMBER(SEARCH(Aliases!$A$5:$A$80,E434))*(Aliases!$A$5:$A$80&lt;&gt;""),0),0)),"UNMATCHED"))</f>
        <v/>
      </c>
      <c r="M434" s="16"/>
      <c r="N434" s="16"/>
    </row>
    <row r="435" spans="1:14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6"/>
      <c r="L435" s="15" t="str">
        <f>IF(E435="","",IFERROR(INDEX(Aliases!$B$5:$B$80,MATCH(1,INDEX(ISNUMBER(SEARCH(Aliases!$A$5:$A$80,E435))*(Aliases!$A$5:$A$80&lt;&gt;""),0),0)),"UNMATCHED"))</f>
        <v/>
      </c>
      <c r="M435" s="16"/>
      <c r="N435" s="16"/>
    </row>
    <row r="436" spans="1:14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6"/>
      <c r="L436" s="15" t="str">
        <f>IF(E436="","",IFERROR(INDEX(Aliases!$B$5:$B$80,MATCH(1,INDEX(ISNUMBER(SEARCH(Aliases!$A$5:$A$80,E436))*(Aliases!$A$5:$A$80&lt;&gt;""),0),0)),"UNMATCHED"))</f>
        <v/>
      </c>
      <c r="M436" s="16"/>
      <c r="N436" s="16"/>
    </row>
    <row r="437" spans="1:14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6"/>
      <c r="L437" s="15" t="str">
        <f>IF(E437="","",IFERROR(INDEX(Aliases!$B$5:$B$80,MATCH(1,INDEX(ISNUMBER(SEARCH(Aliases!$A$5:$A$80,E437))*(Aliases!$A$5:$A$80&lt;&gt;""),0),0)),"UNMATCHED"))</f>
        <v/>
      </c>
      <c r="M437" s="16"/>
      <c r="N437" s="16"/>
    </row>
    <row r="438" spans="1:14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6"/>
      <c r="L438" s="15" t="str">
        <f>IF(E438="","",IFERROR(INDEX(Aliases!$B$5:$B$80,MATCH(1,INDEX(ISNUMBER(SEARCH(Aliases!$A$5:$A$80,E438))*(Aliases!$A$5:$A$80&lt;&gt;""),0),0)),"UNMATCHED"))</f>
        <v/>
      </c>
      <c r="M438" s="16"/>
      <c r="N438" s="16"/>
    </row>
    <row r="439" spans="1:14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6"/>
      <c r="L439" s="15" t="str">
        <f>IF(E439="","",IFERROR(INDEX(Aliases!$B$5:$B$80,MATCH(1,INDEX(ISNUMBER(SEARCH(Aliases!$A$5:$A$80,E439))*(Aliases!$A$5:$A$80&lt;&gt;""),0),0)),"UNMATCHED"))</f>
        <v/>
      </c>
      <c r="M439" s="16"/>
      <c r="N439" s="16"/>
    </row>
    <row r="440" spans="1:14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6"/>
      <c r="L440" s="15" t="str">
        <f>IF(E440="","",IFERROR(INDEX(Aliases!$B$5:$B$80,MATCH(1,INDEX(ISNUMBER(SEARCH(Aliases!$A$5:$A$80,E440))*(Aliases!$A$5:$A$80&lt;&gt;""),0),0)),"UNMATCHED"))</f>
        <v/>
      </c>
      <c r="M440" s="16"/>
      <c r="N440" s="16"/>
    </row>
    <row r="441" spans="1:14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6"/>
      <c r="L441" s="15" t="str">
        <f>IF(E441="","",IFERROR(INDEX(Aliases!$B$5:$B$80,MATCH(1,INDEX(ISNUMBER(SEARCH(Aliases!$A$5:$A$80,E441))*(Aliases!$A$5:$A$80&lt;&gt;""),0),0)),"UNMATCHED"))</f>
        <v/>
      </c>
      <c r="M441" s="16"/>
      <c r="N441" s="16"/>
    </row>
    <row r="442" spans="1:14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6"/>
      <c r="L442" s="15" t="str">
        <f>IF(E442="","",IFERROR(INDEX(Aliases!$B$5:$B$80,MATCH(1,INDEX(ISNUMBER(SEARCH(Aliases!$A$5:$A$80,E442))*(Aliases!$A$5:$A$80&lt;&gt;""),0),0)),"UNMATCHED"))</f>
        <v/>
      </c>
      <c r="M442" s="16"/>
      <c r="N442" s="16"/>
    </row>
    <row r="443" spans="1:14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6"/>
      <c r="L443" s="15" t="str">
        <f>IF(E443="","",IFERROR(INDEX(Aliases!$B$5:$B$80,MATCH(1,INDEX(ISNUMBER(SEARCH(Aliases!$A$5:$A$80,E443))*(Aliases!$A$5:$A$80&lt;&gt;""),0),0)),"UNMATCHED"))</f>
        <v/>
      </c>
      <c r="M443" s="16"/>
      <c r="N443" s="16"/>
    </row>
    <row r="444" spans="1:14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6"/>
      <c r="L444" s="15" t="str">
        <f>IF(E444="","",IFERROR(INDEX(Aliases!$B$5:$B$80,MATCH(1,INDEX(ISNUMBER(SEARCH(Aliases!$A$5:$A$80,E444))*(Aliases!$A$5:$A$80&lt;&gt;""),0),0)),"UNMATCHED"))</f>
        <v/>
      </c>
      <c r="M444" s="16"/>
      <c r="N444" s="16"/>
    </row>
    <row r="445" spans="1:14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6"/>
      <c r="L445" s="15" t="str">
        <f>IF(E445="","",IFERROR(INDEX(Aliases!$B$5:$B$80,MATCH(1,INDEX(ISNUMBER(SEARCH(Aliases!$A$5:$A$80,E445))*(Aliases!$A$5:$A$80&lt;&gt;""),0),0)),"UNMATCHED"))</f>
        <v/>
      </c>
      <c r="M445" s="16"/>
      <c r="N445" s="16"/>
    </row>
    <row r="446" spans="1:14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6"/>
      <c r="L446" s="15" t="str">
        <f>IF(E446="","",IFERROR(INDEX(Aliases!$B$5:$B$80,MATCH(1,INDEX(ISNUMBER(SEARCH(Aliases!$A$5:$A$80,E446))*(Aliases!$A$5:$A$80&lt;&gt;""),0),0)),"UNMATCHED"))</f>
        <v/>
      </c>
      <c r="M446" s="16"/>
      <c r="N446" s="16"/>
    </row>
    <row r="447" spans="1:14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6"/>
      <c r="L447" s="15" t="str">
        <f>IF(E447="","",IFERROR(INDEX(Aliases!$B$5:$B$80,MATCH(1,INDEX(ISNUMBER(SEARCH(Aliases!$A$5:$A$80,E447))*(Aliases!$A$5:$A$80&lt;&gt;""),0),0)),"UNMATCHED"))</f>
        <v/>
      </c>
      <c r="M447" s="16"/>
      <c r="N447" s="16"/>
    </row>
    <row r="448" spans="1:14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6"/>
      <c r="L448" s="15" t="str">
        <f>IF(E448="","",IFERROR(INDEX(Aliases!$B$5:$B$80,MATCH(1,INDEX(ISNUMBER(SEARCH(Aliases!$A$5:$A$80,E448))*(Aliases!$A$5:$A$80&lt;&gt;""),0),0)),"UNMATCHED"))</f>
        <v/>
      </c>
      <c r="M448" s="16"/>
      <c r="N448" s="16"/>
    </row>
    <row r="449" spans="1:14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6"/>
      <c r="L449" s="15" t="str">
        <f>IF(E449="","",IFERROR(INDEX(Aliases!$B$5:$B$80,MATCH(1,INDEX(ISNUMBER(SEARCH(Aliases!$A$5:$A$80,E449))*(Aliases!$A$5:$A$80&lt;&gt;""),0),0)),"UNMATCHED"))</f>
        <v/>
      </c>
      <c r="M449" s="16"/>
      <c r="N449" s="16"/>
    </row>
    <row r="450" spans="1:14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6"/>
      <c r="L450" s="15" t="str">
        <f>IF(E450="","",IFERROR(INDEX(Aliases!$B$5:$B$80,MATCH(1,INDEX(ISNUMBER(SEARCH(Aliases!$A$5:$A$80,E450))*(Aliases!$A$5:$A$80&lt;&gt;""),0),0)),"UNMATCHED"))</f>
        <v/>
      </c>
      <c r="M450" s="16"/>
      <c r="N450" s="16"/>
    </row>
    <row r="451" spans="1:14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6"/>
      <c r="L451" s="15" t="str">
        <f>IF(E451="","",IFERROR(INDEX(Aliases!$B$5:$B$80,MATCH(1,INDEX(ISNUMBER(SEARCH(Aliases!$A$5:$A$80,E451))*(Aliases!$A$5:$A$80&lt;&gt;""),0),0)),"UNMATCHED"))</f>
        <v/>
      </c>
      <c r="M451" s="16"/>
      <c r="N451" s="16"/>
    </row>
    <row r="452" spans="1:14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6"/>
      <c r="L452" s="15" t="str">
        <f>IF(E452="","",IFERROR(INDEX(Aliases!$B$5:$B$80,MATCH(1,INDEX(ISNUMBER(SEARCH(Aliases!$A$5:$A$80,E452))*(Aliases!$A$5:$A$80&lt;&gt;""),0),0)),"UNMATCHED"))</f>
        <v/>
      </c>
      <c r="M452" s="16"/>
      <c r="N452" s="16"/>
    </row>
    <row r="453" spans="1:14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6"/>
      <c r="L453" s="15" t="str">
        <f>IF(E453="","",IFERROR(INDEX(Aliases!$B$5:$B$80,MATCH(1,INDEX(ISNUMBER(SEARCH(Aliases!$A$5:$A$80,E453))*(Aliases!$A$5:$A$80&lt;&gt;""),0),0)),"UNMATCHED"))</f>
        <v/>
      </c>
      <c r="M453" s="16"/>
      <c r="N453" s="16"/>
    </row>
    <row r="454" spans="1:14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6"/>
      <c r="L454" s="15" t="str">
        <f>IF(E454="","",IFERROR(INDEX(Aliases!$B$5:$B$80,MATCH(1,INDEX(ISNUMBER(SEARCH(Aliases!$A$5:$A$80,E454))*(Aliases!$A$5:$A$80&lt;&gt;""),0),0)),"UNMATCHED"))</f>
        <v/>
      </c>
      <c r="M454" s="16"/>
      <c r="N454" s="16"/>
    </row>
    <row r="455" spans="1:14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6"/>
      <c r="L455" s="15" t="str">
        <f>IF(E455="","",IFERROR(INDEX(Aliases!$B$5:$B$80,MATCH(1,INDEX(ISNUMBER(SEARCH(Aliases!$A$5:$A$80,E455))*(Aliases!$A$5:$A$80&lt;&gt;""),0),0)),"UNMATCHED"))</f>
        <v/>
      </c>
      <c r="M455" s="16"/>
      <c r="N455" s="16"/>
    </row>
    <row r="456" spans="1:14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6"/>
      <c r="L456" s="15" t="str">
        <f>IF(E456="","",IFERROR(INDEX(Aliases!$B$5:$B$80,MATCH(1,INDEX(ISNUMBER(SEARCH(Aliases!$A$5:$A$80,E456))*(Aliases!$A$5:$A$80&lt;&gt;""),0),0)),"UNMATCHED"))</f>
        <v/>
      </c>
      <c r="M456" s="16"/>
      <c r="N456" s="16"/>
    </row>
    <row r="457" spans="1:14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6"/>
      <c r="L457" s="15" t="str">
        <f>IF(E457="","",IFERROR(INDEX(Aliases!$B$5:$B$80,MATCH(1,INDEX(ISNUMBER(SEARCH(Aliases!$A$5:$A$80,E457))*(Aliases!$A$5:$A$80&lt;&gt;""),0),0)),"UNMATCHED"))</f>
        <v/>
      </c>
      <c r="M457" s="16"/>
      <c r="N457" s="16"/>
    </row>
    <row r="458" spans="1:14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6"/>
      <c r="L458" s="15" t="str">
        <f>IF(E458="","",IFERROR(INDEX(Aliases!$B$5:$B$80,MATCH(1,INDEX(ISNUMBER(SEARCH(Aliases!$A$5:$A$80,E458))*(Aliases!$A$5:$A$80&lt;&gt;""),0),0)),"UNMATCHED"))</f>
        <v/>
      </c>
      <c r="M458" s="16"/>
      <c r="N458" s="16"/>
    </row>
    <row r="459" spans="1:14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6"/>
      <c r="L459" s="15" t="str">
        <f>IF(E459="","",IFERROR(INDEX(Aliases!$B$5:$B$80,MATCH(1,INDEX(ISNUMBER(SEARCH(Aliases!$A$5:$A$80,E459))*(Aliases!$A$5:$A$80&lt;&gt;""),0),0)),"UNMATCHED"))</f>
        <v/>
      </c>
      <c r="M459" s="16"/>
      <c r="N459" s="16"/>
    </row>
    <row r="460" spans="1:14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6"/>
      <c r="L460" s="15" t="str">
        <f>IF(E460="","",IFERROR(INDEX(Aliases!$B$5:$B$80,MATCH(1,INDEX(ISNUMBER(SEARCH(Aliases!$A$5:$A$80,E460))*(Aliases!$A$5:$A$80&lt;&gt;""),0),0)),"UNMATCHED"))</f>
        <v/>
      </c>
      <c r="M460" s="16"/>
      <c r="N460" s="16"/>
    </row>
    <row r="461" spans="1:14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6"/>
      <c r="L461" s="15" t="str">
        <f>IF(E461="","",IFERROR(INDEX(Aliases!$B$5:$B$80,MATCH(1,INDEX(ISNUMBER(SEARCH(Aliases!$A$5:$A$80,E461))*(Aliases!$A$5:$A$80&lt;&gt;""),0),0)),"UNMATCHED"))</f>
        <v/>
      </c>
      <c r="M461" s="16"/>
      <c r="N461" s="16"/>
    </row>
    <row r="462" spans="1:14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6"/>
      <c r="L462" s="15" t="str">
        <f>IF(E462="","",IFERROR(INDEX(Aliases!$B$5:$B$80,MATCH(1,INDEX(ISNUMBER(SEARCH(Aliases!$A$5:$A$80,E462))*(Aliases!$A$5:$A$80&lt;&gt;""),0),0)),"UNMATCHED"))</f>
        <v/>
      </c>
      <c r="M462" s="16"/>
      <c r="N462" s="16"/>
    </row>
    <row r="463" spans="1:14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6"/>
      <c r="L463" s="15" t="str">
        <f>IF(E463="","",IFERROR(INDEX(Aliases!$B$5:$B$80,MATCH(1,INDEX(ISNUMBER(SEARCH(Aliases!$A$5:$A$80,E463))*(Aliases!$A$5:$A$80&lt;&gt;""),0),0)),"UNMATCHED"))</f>
        <v/>
      </c>
      <c r="M463" s="16"/>
      <c r="N463" s="16"/>
    </row>
    <row r="464" spans="1:14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6"/>
      <c r="L464" s="15" t="str">
        <f>IF(E464="","",IFERROR(INDEX(Aliases!$B$5:$B$80,MATCH(1,INDEX(ISNUMBER(SEARCH(Aliases!$A$5:$A$80,E464))*(Aliases!$A$5:$A$80&lt;&gt;""),0),0)),"UNMATCHED"))</f>
        <v/>
      </c>
      <c r="M464" s="16"/>
      <c r="N464" s="16"/>
    </row>
    <row r="465" spans="1:14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6"/>
      <c r="L465" s="15" t="str">
        <f>IF(E465="","",IFERROR(INDEX(Aliases!$B$5:$B$80,MATCH(1,INDEX(ISNUMBER(SEARCH(Aliases!$A$5:$A$80,E465))*(Aliases!$A$5:$A$80&lt;&gt;""),0),0)),"UNMATCHED"))</f>
        <v/>
      </c>
      <c r="M465" s="16"/>
      <c r="N465" s="16"/>
    </row>
    <row r="466" spans="1:14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6"/>
      <c r="L466" s="15" t="str">
        <f>IF(E466="","",IFERROR(INDEX(Aliases!$B$5:$B$80,MATCH(1,INDEX(ISNUMBER(SEARCH(Aliases!$A$5:$A$80,E466))*(Aliases!$A$5:$A$80&lt;&gt;""),0),0)),"UNMATCHED"))</f>
        <v/>
      </c>
      <c r="M466" s="16"/>
      <c r="N466" s="16"/>
    </row>
    <row r="467" spans="1:14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6"/>
      <c r="L467" s="15" t="str">
        <f>IF(E467="","",IFERROR(INDEX(Aliases!$B$5:$B$80,MATCH(1,INDEX(ISNUMBER(SEARCH(Aliases!$A$5:$A$80,E467))*(Aliases!$A$5:$A$80&lt;&gt;""),0),0)),"UNMATCHED"))</f>
        <v/>
      </c>
      <c r="M467" s="16"/>
      <c r="N467" s="16"/>
    </row>
    <row r="468" spans="1:14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6"/>
      <c r="L468" s="15" t="str">
        <f>IF(E468="","",IFERROR(INDEX(Aliases!$B$5:$B$80,MATCH(1,INDEX(ISNUMBER(SEARCH(Aliases!$A$5:$A$80,E468))*(Aliases!$A$5:$A$80&lt;&gt;""),0),0)),"UNMATCHED"))</f>
        <v/>
      </c>
      <c r="M468" s="16"/>
      <c r="N468" s="16"/>
    </row>
    <row r="469" spans="1:14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6"/>
      <c r="L469" s="15" t="str">
        <f>IF(E469="","",IFERROR(INDEX(Aliases!$B$5:$B$80,MATCH(1,INDEX(ISNUMBER(SEARCH(Aliases!$A$5:$A$80,E469))*(Aliases!$A$5:$A$80&lt;&gt;""),0),0)),"UNMATCHED"))</f>
        <v/>
      </c>
      <c r="M469" s="16"/>
      <c r="N469" s="16"/>
    </row>
    <row r="470" spans="1:14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6"/>
      <c r="L470" s="15" t="str">
        <f>IF(E470="","",IFERROR(INDEX(Aliases!$B$5:$B$80,MATCH(1,INDEX(ISNUMBER(SEARCH(Aliases!$A$5:$A$80,E470))*(Aliases!$A$5:$A$80&lt;&gt;""),0),0)),"UNMATCHED"))</f>
        <v/>
      </c>
      <c r="M470" s="16"/>
      <c r="N470" s="16"/>
    </row>
    <row r="471" spans="1:14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6"/>
      <c r="L471" s="15" t="str">
        <f>IF(E471="","",IFERROR(INDEX(Aliases!$B$5:$B$80,MATCH(1,INDEX(ISNUMBER(SEARCH(Aliases!$A$5:$A$80,E471))*(Aliases!$A$5:$A$80&lt;&gt;""),0),0)),"UNMATCHED"))</f>
        <v/>
      </c>
      <c r="M471" s="16"/>
      <c r="N471" s="16"/>
    </row>
    <row r="472" spans="1:14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6"/>
      <c r="L472" s="15" t="str">
        <f>IF(E472="","",IFERROR(INDEX(Aliases!$B$5:$B$80,MATCH(1,INDEX(ISNUMBER(SEARCH(Aliases!$A$5:$A$80,E472))*(Aliases!$A$5:$A$80&lt;&gt;""),0),0)),"UNMATCHED"))</f>
        <v/>
      </c>
      <c r="M472" s="16"/>
      <c r="N472" s="16"/>
    </row>
    <row r="473" spans="1:14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6"/>
      <c r="L473" s="15" t="str">
        <f>IF(E473="","",IFERROR(INDEX(Aliases!$B$5:$B$80,MATCH(1,INDEX(ISNUMBER(SEARCH(Aliases!$A$5:$A$80,E473))*(Aliases!$A$5:$A$80&lt;&gt;""),0),0)),"UNMATCHED"))</f>
        <v/>
      </c>
      <c r="M473" s="16"/>
      <c r="N473" s="16"/>
    </row>
    <row r="474" spans="1:14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6"/>
      <c r="L474" s="15" t="str">
        <f>IF(E474="","",IFERROR(INDEX(Aliases!$B$5:$B$80,MATCH(1,INDEX(ISNUMBER(SEARCH(Aliases!$A$5:$A$80,E474))*(Aliases!$A$5:$A$80&lt;&gt;""),0),0)),"UNMATCHED"))</f>
        <v/>
      </c>
      <c r="M474" s="16"/>
      <c r="N474" s="16"/>
    </row>
    <row r="475" spans="1:14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6"/>
      <c r="L475" s="15" t="str">
        <f>IF(E475="","",IFERROR(INDEX(Aliases!$B$5:$B$80,MATCH(1,INDEX(ISNUMBER(SEARCH(Aliases!$A$5:$A$80,E475))*(Aliases!$A$5:$A$80&lt;&gt;""),0),0)),"UNMATCHED"))</f>
        <v/>
      </c>
      <c r="M475" s="16"/>
      <c r="N475" s="16"/>
    </row>
    <row r="476" spans="1:14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6"/>
      <c r="L476" s="15" t="str">
        <f>IF(E476="","",IFERROR(INDEX(Aliases!$B$5:$B$80,MATCH(1,INDEX(ISNUMBER(SEARCH(Aliases!$A$5:$A$80,E476))*(Aliases!$A$5:$A$80&lt;&gt;""),0),0)),"UNMATCHED"))</f>
        <v/>
      </c>
      <c r="M476" s="16"/>
      <c r="N476" s="16"/>
    </row>
    <row r="477" spans="1:14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6"/>
      <c r="L477" s="15" t="str">
        <f>IF(E477="","",IFERROR(INDEX(Aliases!$B$5:$B$80,MATCH(1,INDEX(ISNUMBER(SEARCH(Aliases!$A$5:$A$80,E477))*(Aliases!$A$5:$A$80&lt;&gt;""),0),0)),"UNMATCHED"))</f>
        <v/>
      </c>
      <c r="M477" s="16"/>
      <c r="N477" s="16"/>
    </row>
    <row r="478" spans="1:14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6"/>
      <c r="L478" s="15" t="str">
        <f>IF(E478="","",IFERROR(INDEX(Aliases!$B$5:$B$80,MATCH(1,INDEX(ISNUMBER(SEARCH(Aliases!$A$5:$A$80,E478))*(Aliases!$A$5:$A$80&lt;&gt;""),0),0)),"UNMATCHED"))</f>
        <v/>
      </c>
      <c r="M478" s="16"/>
      <c r="N478" s="16"/>
    </row>
    <row r="479" spans="1:14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6"/>
      <c r="L479" s="15" t="str">
        <f>IF(E479="","",IFERROR(INDEX(Aliases!$B$5:$B$80,MATCH(1,INDEX(ISNUMBER(SEARCH(Aliases!$A$5:$A$80,E479))*(Aliases!$A$5:$A$80&lt;&gt;""),0),0)),"UNMATCHED"))</f>
        <v/>
      </c>
      <c r="M479" s="16"/>
      <c r="N479" s="16"/>
    </row>
    <row r="480" spans="1:14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6"/>
      <c r="L480" s="15" t="str">
        <f>IF(E480="","",IFERROR(INDEX(Aliases!$B$5:$B$80,MATCH(1,INDEX(ISNUMBER(SEARCH(Aliases!$A$5:$A$80,E480))*(Aliases!$A$5:$A$80&lt;&gt;""),0),0)),"UNMATCHED"))</f>
        <v/>
      </c>
      <c r="M480" s="16"/>
      <c r="N480" s="16"/>
    </row>
    <row r="481" spans="1:14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6"/>
      <c r="L481" s="15" t="str">
        <f>IF(E481="","",IFERROR(INDEX(Aliases!$B$5:$B$80,MATCH(1,INDEX(ISNUMBER(SEARCH(Aliases!$A$5:$A$80,E481))*(Aliases!$A$5:$A$80&lt;&gt;""),0),0)),"UNMATCHED"))</f>
        <v/>
      </c>
      <c r="M481" s="16"/>
      <c r="N481" s="16"/>
    </row>
    <row r="482" spans="1:14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6"/>
      <c r="L482" s="15" t="str">
        <f>IF(E482="","",IFERROR(INDEX(Aliases!$B$5:$B$80,MATCH(1,INDEX(ISNUMBER(SEARCH(Aliases!$A$5:$A$80,E482))*(Aliases!$A$5:$A$80&lt;&gt;""),0),0)),"UNMATCHED"))</f>
        <v/>
      </c>
      <c r="M482" s="16"/>
      <c r="N482" s="16"/>
    </row>
    <row r="483" spans="1:14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6"/>
      <c r="L483" s="15" t="str">
        <f>IF(E483="","",IFERROR(INDEX(Aliases!$B$5:$B$80,MATCH(1,INDEX(ISNUMBER(SEARCH(Aliases!$A$5:$A$80,E483))*(Aliases!$A$5:$A$80&lt;&gt;""),0),0)),"UNMATCHED"))</f>
        <v/>
      </c>
      <c r="M483" s="16"/>
      <c r="N483" s="16"/>
    </row>
    <row r="484" spans="1:14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6"/>
      <c r="L484" s="15" t="str">
        <f>IF(E484="","",IFERROR(INDEX(Aliases!$B$5:$B$80,MATCH(1,INDEX(ISNUMBER(SEARCH(Aliases!$A$5:$A$80,E484))*(Aliases!$A$5:$A$80&lt;&gt;""),0),0)),"UNMATCHED"))</f>
        <v/>
      </c>
      <c r="M484" s="16"/>
      <c r="N484" s="16"/>
    </row>
    <row r="485" spans="1:14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6"/>
      <c r="L485" s="15" t="str">
        <f>IF(E485="","",IFERROR(INDEX(Aliases!$B$5:$B$80,MATCH(1,INDEX(ISNUMBER(SEARCH(Aliases!$A$5:$A$80,E485))*(Aliases!$A$5:$A$80&lt;&gt;""),0),0)),"UNMATCHED"))</f>
        <v/>
      </c>
      <c r="M485" s="16"/>
      <c r="N485" s="16"/>
    </row>
    <row r="486" spans="1:14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6"/>
      <c r="L486" s="15" t="str">
        <f>IF(E486="","",IFERROR(INDEX(Aliases!$B$5:$B$80,MATCH(1,INDEX(ISNUMBER(SEARCH(Aliases!$A$5:$A$80,E486))*(Aliases!$A$5:$A$80&lt;&gt;""),0),0)),"UNMATCHED"))</f>
        <v/>
      </c>
      <c r="M486" s="16"/>
      <c r="N486" s="16"/>
    </row>
    <row r="487" spans="1:14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6"/>
      <c r="L487" s="15" t="str">
        <f>IF(E487="","",IFERROR(INDEX(Aliases!$B$5:$B$80,MATCH(1,INDEX(ISNUMBER(SEARCH(Aliases!$A$5:$A$80,E487))*(Aliases!$A$5:$A$80&lt;&gt;""),0),0)),"UNMATCHED"))</f>
        <v/>
      </c>
      <c r="M487" s="16"/>
      <c r="N487" s="16"/>
    </row>
    <row r="488" spans="1:14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6"/>
      <c r="L488" s="15" t="str">
        <f>IF(E488="","",IFERROR(INDEX(Aliases!$B$5:$B$80,MATCH(1,INDEX(ISNUMBER(SEARCH(Aliases!$A$5:$A$80,E488))*(Aliases!$A$5:$A$80&lt;&gt;""),0),0)),"UNMATCHED"))</f>
        <v/>
      </c>
      <c r="M488" s="16"/>
      <c r="N488" s="16"/>
    </row>
    <row r="489" spans="1:14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6"/>
      <c r="L489" s="15" t="str">
        <f>IF(E489="","",IFERROR(INDEX(Aliases!$B$5:$B$80,MATCH(1,INDEX(ISNUMBER(SEARCH(Aliases!$A$5:$A$80,E489))*(Aliases!$A$5:$A$80&lt;&gt;""),0),0)),"UNMATCHED"))</f>
        <v/>
      </c>
      <c r="M489" s="16"/>
      <c r="N489" s="16"/>
    </row>
    <row r="490" spans="1:14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6"/>
      <c r="L490" s="15" t="str">
        <f>IF(E490="","",IFERROR(INDEX(Aliases!$B$5:$B$80,MATCH(1,INDEX(ISNUMBER(SEARCH(Aliases!$A$5:$A$80,E490))*(Aliases!$A$5:$A$80&lt;&gt;""),0),0)),"UNMATCHED"))</f>
        <v/>
      </c>
      <c r="M490" s="16"/>
      <c r="N490" s="16"/>
    </row>
    <row r="491" spans="1:14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6"/>
      <c r="L491" s="15" t="str">
        <f>IF(E491="","",IFERROR(INDEX(Aliases!$B$5:$B$80,MATCH(1,INDEX(ISNUMBER(SEARCH(Aliases!$A$5:$A$80,E491))*(Aliases!$A$5:$A$80&lt;&gt;""),0),0)),"UNMATCHED"))</f>
        <v/>
      </c>
      <c r="M491" s="16"/>
      <c r="N491" s="16"/>
    </row>
    <row r="492" spans="1:14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6"/>
      <c r="L492" s="15" t="str">
        <f>IF(E492="","",IFERROR(INDEX(Aliases!$B$5:$B$80,MATCH(1,INDEX(ISNUMBER(SEARCH(Aliases!$A$5:$A$80,E492))*(Aliases!$A$5:$A$80&lt;&gt;""),0),0)),"UNMATCHED"))</f>
        <v/>
      </c>
      <c r="M492" s="16"/>
      <c r="N492" s="16"/>
    </row>
    <row r="493" spans="1:14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6"/>
      <c r="L493" s="15" t="str">
        <f>IF(E493="","",IFERROR(INDEX(Aliases!$B$5:$B$80,MATCH(1,INDEX(ISNUMBER(SEARCH(Aliases!$A$5:$A$80,E493))*(Aliases!$A$5:$A$80&lt;&gt;""),0),0)),"UNMATCHED"))</f>
        <v/>
      </c>
      <c r="M493" s="16"/>
      <c r="N493" s="16"/>
    </row>
    <row r="494" spans="1:14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6"/>
      <c r="L494" s="15" t="str">
        <f>IF(E494="","",IFERROR(INDEX(Aliases!$B$5:$B$80,MATCH(1,INDEX(ISNUMBER(SEARCH(Aliases!$A$5:$A$80,E494))*(Aliases!$A$5:$A$80&lt;&gt;""),0),0)),"UNMATCHED"))</f>
        <v/>
      </c>
      <c r="M494" s="16"/>
      <c r="N494" s="16"/>
    </row>
    <row r="495" spans="1:14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6"/>
      <c r="L495" s="15" t="str">
        <f>IF(E495="","",IFERROR(INDEX(Aliases!$B$5:$B$80,MATCH(1,INDEX(ISNUMBER(SEARCH(Aliases!$A$5:$A$80,E495))*(Aliases!$A$5:$A$80&lt;&gt;""),0),0)),"UNMATCHED"))</f>
        <v/>
      </c>
      <c r="M495" s="16"/>
      <c r="N495" s="16"/>
    </row>
    <row r="496" spans="1:14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6"/>
      <c r="L496" s="15" t="str">
        <f>IF(E496="","",IFERROR(INDEX(Aliases!$B$5:$B$80,MATCH(1,INDEX(ISNUMBER(SEARCH(Aliases!$A$5:$A$80,E496))*(Aliases!$A$5:$A$80&lt;&gt;""),0),0)),"UNMATCHED"))</f>
        <v/>
      </c>
      <c r="M496" s="16"/>
      <c r="N496" s="16"/>
    </row>
    <row r="497" spans="1:14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6"/>
      <c r="L497" s="15" t="str">
        <f>IF(E497="","",IFERROR(INDEX(Aliases!$B$5:$B$80,MATCH(1,INDEX(ISNUMBER(SEARCH(Aliases!$A$5:$A$80,E497))*(Aliases!$A$5:$A$80&lt;&gt;""),0),0)),"UNMATCHED"))</f>
        <v/>
      </c>
      <c r="M497" s="16"/>
      <c r="N497" s="16"/>
    </row>
    <row r="498" spans="1:14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6"/>
      <c r="L498" s="15" t="str">
        <f>IF(E498="","",IFERROR(INDEX(Aliases!$B$5:$B$80,MATCH(1,INDEX(ISNUMBER(SEARCH(Aliases!$A$5:$A$80,E498))*(Aliases!$A$5:$A$80&lt;&gt;""),0),0)),"UNMATCHED"))</f>
        <v/>
      </c>
      <c r="M498" s="16"/>
      <c r="N498" s="16"/>
    </row>
    <row r="499" spans="1:14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6"/>
      <c r="L499" s="15" t="str">
        <f>IF(E499="","",IFERROR(INDEX(Aliases!$B$5:$B$80,MATCH(1,INDEX(ISNUMBER(SEARCH(Aliases!$A$5:$A$80,E499))*(Aliases!$A$5:$A$80&lt;&gt;""),0),0)),"UNMATCHED"))</f>
        <v/>
      </c>
      <c r="M499" s="16"/>
      <c r="N499" s="16"/>
    </row>
    <row r="500" spans="1:14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6"/>
      <c r="L500" s="15" t="str">
        <f>IF(E500="","",IFERROR(INDEX(Aliases!$B$5:$B$80,MATCH(1,INDEX(ISNUMBER(SEARCH(Aliases!$A$5:$A$80,E500))*(Aliases!$A$5:$A$80&lt;&gt;""),0),0)),"UNMATCHED"))</f>
        <v/>
      </c>
      <c r="M500" s="16"/>
      <c r="N500" s="16"/>
    </row>
    <row r="501" spans="1:14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6"/>
      <c r="L501" s="15" t="str">
        <f>IF(E501="","",IFERROR(INDEX(Aliases!$B$5:$B$80,MATCH(1,INDEX(ISNUMBER(SEARCH(Aliases!$A$5:$A$80,E501))*(Aliases!$A$5:$A$80&lt;&gt;""),0),0)),"UNMATCHED"))</f>
        <v/>
      </c>
      <c r="M501" s="16"/>
      <c r="N501" s="16"/>
    </row>
    <row r="502" spans="1:14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6"/>
      <c r="L502" s="15" t="str">
        <f>IF(E502="","",IFERROR(INDEX(Aliases!$B$5:$B$80,MATCH(1,INDEX(ISNUMBER(SEARCH(Aliases!$A$5:$A$80,E502))*(Aliases!$A$5:$A$80&lt;&gt;""),0),0)),"UNMATCHED"))</f>
        <v/>
      </c>
      <c r="M502" s="16"/>
      <c r="N502" s="16"/>
    </row>
    <row r="503" spans="1:14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6"/>
      <c r="L503" s="15" t="str">
        <f>IF(E503="","",IFERROR(INDEX(Aliases!$B$5:$B$80,MATCH(1,INDEX(ISNUMBER(SEARCH(Aliases!$A$5:$A$80,E503))*(Aliases!$A$5:$A$80&lt;&gt;""),0),0)),"UNMATCHED"))</f>
        <v/>
      </c>
      <c r="M503" s="16"/>
      <c r="N503" s="16"/>
    </row>
    <row r="504" spans="1:14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6"/>
      <c r="L504" s="15" t="str">
        <f>IF(E504="","",IFERROR(INDEX(Aliases!$B$5:$B$80,MATCH(1,INDEX(ISNUMBER(SEARCH(Aliases!$A$5:$A$80,E504))*(Aliases!$A$5:$A$80&lt;&gt;""),0),0)),"UNMATCHED"))</f>
        <v/>
      </c>
      <c r="M504" s="16"/>
      <c r="N504" s="16"/>
    </row>
    <row r="505" spans="1:14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6"/>
      <c r="L505" s="15" t="str">
        <f>IF(E505="","",IFERROR(INDEX(Aliases!$B$5:$B$80,MATCH(1,INDEX(ISNUMBER(SEARCH(Aliases!$A$5:$A$80,E505))*(Aliases!$A$5:$A$80&lt;&gt;""),0),0)),"UNMATCHED"))</f>
        <v/>
      </c>
      <c r="M505" s="16"/>
      <c r="N505" s="16"/>
    </row>
    <row r="506" spans="1:14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6"/>
      <c r="L506" s="15" t="str">
        <f>IF(E506="","",IFERROR(INDEX(Aliases!$B$5:$B$80,MATCH(1,INDEX(ISNUMBER(SEARCH(Aliases!$A$5:$A$80,E506))*(Aliases!$A$5:$A$80&lt;&gt;""),0),0)),"UNMATCHED"))</f>
        <v/>
      </c>
      <c r="M506" s="16"/>
      <c r="N506" s="16"/>
    </row>
    <row r="507" spans="1:14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6"/>
      <c r="L507" s="15" t="str">
        <f>IF(E507="","",IFERROR(INDEX(Aliases!$B$5:$B$80,MATCH(1,INDEX(ISNUMBER(SEARCH(Aliases!$A$5:$A$80,E507))*(Aliases!$A$5:$A$80&lt;&gt;""),0),0)),"UNMATCHED"))</f>
        <v/>
      </c>
      <c r="M507" s="16"/>
      <c r="N507" s="16"/>
    </row>
    <row r="508" spans="1:14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6"/>
      <c r="L508" s="15" t="str">
        <f>IF(E508="","",IFERROR(INDEX(Aliases!$B$5:$B$80,MATCH(1,INDEX(ISNUMBER(SEARCH(Aliases!$A$5:$A$80,E508))*(Aliases!$A$5:$A$80&lt;&gt;""),0),0)),"UNMATCHED"))</f>
        <v/>
      </c>
      <c r="M508" s="16"/>
      <c r="N508" s="16"/>
    </row>
    <row r="509" spans="1:14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6"/>
      <c r="L509" s="15" t="str">
        <f>IF(E509="","",IFERROR(INDEX(Aliases!$B$5:$B$80,MATCH(1,INDEX(ISNUMBER(SEARCH(Aliases!$A$5:$A$80,E509))*(Aliases!$A$5:$A$80&lt;&gt;""),0),0)),"UNMATCHED"))</f>
        <v/>
      </c>
      <c r="M509" s="16"/>
      <c r="N509" s="16"/>
    </row>
    <row r="510" spans="1:14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6"/>
      <c r="L510" s="15" t="str">
        <f>IF(E510="","",IFERROR(INDEX(Aliases!$B$5:$B$80,MATCH(1,INDEX(ISNUMBER(SEARCH(Aliases!$A$5:$A$80,E510))*(Aliases!$A$5:$A$80&lt;&gt;""),0),0)),"UNMATCHED"))</f>
        <v/>
      </c>
      <c r="M510" s="16"/>
      <c r="N510" s="16"/>
    </row>
    <row r="511" spans="1:14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6"/>
      <c r="L511" s="15" t="str">
        <f>IF(E511="","",IFERROR(INDEX(Aliases!$B$5:$B$80,MATCH(1,INDEX(ISNUMBER(SEARCH(Aliases!$A$5:$A$80,E511))*(Aliases!$A$5:$A$80&lt;&gt;""),0),0)),"UNMATCHED"))</f>
        <v/>
      </c>
      <c r="M511" s="16"/>
      <c r="N511" s="16"/>
    </row>
    <row r="512" spans="1:14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6"/>
      <c r="L512" s="15" t="str">
        <f>IF(E512="","",IFERROR(INDEX(Aliases!$B$5:$B$80,MATCH(1,INDEX(ISNUMBER(SEARCH(Aliases!$A$5:$A$80,E512))*(Aliases!$A$5:$A$80&lt;&gt;""),0),0)),"UNMATCHED"))</f>
        <v/>
      </c>
      <c r="M512" s="16"/>
      <c r="N512" s="16"/>
    </row>
    <row r="513" spans="1:14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6"/>
      <c r="L513" s="15" t="str">
        <f>IF(E513="","",IFERROR(INDEX(Aliases!$B$5:$B$80,MATCH(1,INDEX(ISNUMBER(SEARCH(Aliases!$A$5:$A$80,E513))*(Aliases!$A$5:$A$80&lt;&gt;""),0),0)),"UNMATCHED"))</f>
        <v/>
      </c>
      <c r="M513" s="16"/>
      <c r="N513" s="16"/>
    </row>
    <row r="514" spans="1:14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6"/>
      <c r="L514" s="15" t="str">
        <f>IF(E514="","",IFERROR(INDEX(Aliases!$B$5:$B$80,MATCH(1,INDEX(ISNUMBER(SEARCH(Aliases!$A$5:$A$80,E514))*(Aliases!$A$5:$A$80&lt;&gt;""),0),0)),"UNMATCHED"))</f>
        <v/>
      </c>
      <c r="M514" s="16"/>
      <c r="N514" s="16"/>
    </row>
    <row r="515" spans="1:14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6"/>
      <c r="L515" s="15" t="str">
        <f>IF(E515="","",IFERROR(INDEX(Aliases!$B$5:$B$80,MATCH(1,INDEX(ISNUMBER(SEARCH(Aliases!$A$5:$A$80,E515))*(Aliases!$A$5:$A$80&lt;&gt;""),0),0)),"UNMATCHED"))</f>
        <v/>
      </c>
      <c r="M515" s="16"/>
      <c r="N515" s="16"/>
    </row>
    <row r="516" spans="1:14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6"/>
      <c r="L516" s="15" t="str">
        <f>IF(E516="","",IFERROR(INDEX(Aliases!$B$5:$B$80,MATCH(1,INDEX(ISNUMBER(SEARCH(Aliases!$A$5:$A$80,E516))*(Aliases!$A$5:$A$80&lt;&gt;""),0),0)),"UNMATCHED"))</f>
        <v/>
      </c>
      <c r="M516" s="16"/>
      <c r="N516" s="16"/>
    </row>
    <row r="517" spans="1:14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6"/>
      <c r="L517" s="15" t="str">
        <f>IF(E517="","",IFERROR(INDEX(Aliases!$B$5:$B$80,MATCH(1,INDEX(ISNUMBER(SEARCH(Aliases!$A$5:$A$80,E517))*(Aliases!$A$5:$A$80&lt;&gt;""),0),0)),"UNMATCHED"))</f>
        <v/>
      </c>
      <c r="M517" s="16"/>
      <c r="N517" s="16"/>
    </row>
    <row r="518" spans="1:14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6"/>
      <c r="L518" s="15" t="str">
        <f>IF(E518="","",IFERROR(INDEX(Aliases!$B$5:$B$80,MATCH(1,INDEX(ISNUMBER(SEARCH(Aliases!$A$5:$A$80,E518))*(Aliases!$A$5:$A$80&lt;&gt;""),0),0)),"UNMATCHED"))</f>
        <v/>
      </c>
      <c r="M518" s="16"/>
      <c r="N518" s="16"/>
    </row>
    <row r="519" spans="1:14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6"/>
      <c r="L519" s="15" t="str">
        <f>IF(E519="","",IFERROR(INDEX(Aliases!$B$5:$B$80,MATCH(1,INDEX(ISNUMBER(SEARCH(Aliases!$A$5:$A$80,E519))*(Aliases!$A$5:$A$80&lt;&gt;""),0),0)),"UNMATCHED"))</f>
        <v/>
      </c>
      <c r="M519" s="16"/>
      <c r="N519" s="16"/>
    </row>
    <row r="520" spans="1:14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6"/>
      <c r="L520" s="15" t="str">
        <f>IF(E520="","",IFERROR(INDEX(Aliases!$B$5:$B$80,MATCH(1,INDEX(ISNUMBER(SEARCH(Aliases!$A$5:$A$80,E520))*(Aliases!$A$5:$A$80&lt;&gt;""),0),0)),"UNMATCHED"))</f>
        <v/>
      </c>
      <c r="M520" s="16"/>
      <c r="N520" s="16"/>
    </row>
    <row r="521" spans="1:14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6"/>
      <c r="L521" s="15" t="str">
        <f>IF(E521="","",IFERROR(INDEX(Aliases!$B$5:$B$80,MATCH(1,INDEX(ISNUMBER(SEARCH(Aliases!$A$5:$A$80,E521))*(Aliases!$A$5:$A$80&lt;&gt;""),0),0)),"UNMATCHED"))</f>
        <v/>
      </c>
      <c r="M521" s="16"/>
      <c r="N521" s="16"/>
    </row>
    <row r="522" spans="1:14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6"/>
      <c r="L522" s="15" t="str">
        <f>IF(E522="","",IFERROR(INDEX(Aliases!$B$5:$B$80,MATCH(1,INDEX(ISNUMBER(SEARCH(Aliases!$A$5:$A$80,E522))*(Aliases!$A$5:$A$80&lt;&gt;""),0),0)),"UNMATCHED"))</f>
        <v/>
      </c>
      <c r="M522" s="16"/>
      <c r="N522" s="16"/>
    </row>
    <row r="523" spans="1:14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6"/>
      <c r="L523" s="15" t="str">
        <f>IF(E523="","",IFERROR(INDEX(Aliases!$B$5:$B$80,MATCH(1,INDEX(ISNUMBER(SEARCH(Aliases!$A$5:$A$80,E523))*(Aliases!$A$5:$A$80&lt;&gt;""),0),0)),"UNMATCHED"))</f>
        <v/>
      </c>
      <c r="M523" s="16"/>
      <c r="N523" s="16"/>
    </row>
    <row r="524" spans="1:14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6"/>
      <c r="L524" s="15" t="str">
        <f>IF(E524="","",IFERROR(INDEX(Aliases!$B$5:$B$80,MATCH(1,INDEX(ISNUMBER(SEARCH(Aliases!$A$5:$A$80,E524))*(Aliases!$A$5:$A$80&lt;&gt;""),0),0)),"UNMATCHED"))</f>
        <v/>
      </c>
      <c r="M524" s="16"/>
      <c r="N524" s="16"/>
    </row>
    <row r="525" spans="1:14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6"/>
      <c r="L525" s="15" t="str">
        <f>IF(E525="","",IFERROR(INDEX(Aliases!$B$5:$B$80,MATCH(1,INDEX(ISNUMBER(SEARCH(Aliases!$A$5:$A$80,E525))*(Aliases!$A$5:$A$80&lt;&gt;""),0),0)),"UNMATCHED"))</f>
        <v/>
      </c>
      <c r="M525" s="16"/>
      <c r="N525" s="16"/>
    </row>
    <row r="526" spans="1:14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6"/>
      <c r="L526" s="15" t="str">
        <f>IF(E526="","",IFERROR(INDEX(Aliases!$B$5:$B$80,MATCH(1,INDEX(ISNUMBER(SEARCH(Aliases!$A$5:$A$80,E526))*(Aliases!$A$5:$A$80&lt;&gt;""),0),0)),"UNMATCHED"))</f>
        <v/>
      </c>
      <c r="M526" s="16"/>
      <c r="N526" s="16"/>
    </row>
    <row r="527" spans="1:14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6"/>
      <c r="L527" s="15" t="str">
        <f>IF(E527="","",IFERROR(INDEX(Aliases!$B$5:$B$80,MATCH(1,INDEX(ISNUMBER(SEARCH(Aliases!$A$5:$A$80,E527))*(Aliases!$A$5:$A$80&lt;&gt;""),0),0)),"UNMATCHED"))</f>
        <v/>
      </c>
      <c r="M527" s="16"/>
      <c r="N527" s="16"/>
    </row>
    <row r="528" spans="1:14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6"/>
      <c r="L528" s="15" t="str">
        <f>IF(E528="","",IFERROR(INDEX(Aliases!$B$5:$B$80,MATCH(1,INDEX(ISNUMBER(SEARCH(Aliases!$A$5:$A$80,E528))*(Aliases!$A$5:$A$80&lt;&gt;""),0),0)),"UNMATCHED"))</f>
        <v/>
      </c>
      <c r="M528" s="16"/>
      <c r="N528" s="16"/>
    </row>
    <row r="529" spans="1:14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6"/>
      <c r="L529" s="15" t="str">
        <f>IF(E529="","",IFERROR(INDEX(Aliases!$B$5:$B$80,MATCH(1,INDEX(ISNUMBER(SEARCH(Aliases!$A$5:$A$80,E529))*(Aliases!$A$5:$A$80&lt;&gt;""),0),0)),"UNMATCHED"))</f>
        <v/>
      </c>
      <c r="M529" s="16"/>
      <c r="N529" s="16"/>
    </row>
    <row r="530" spans="1:14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6"/>
      <c r="L530" s="15" t="str">
        <f>IF(E530="","",IFERROR(INDEX(Aliases!$B$5:$B$80,MATCH(1,INDEX(ISNUMBER(SEARCH(Aliases!$A$5:$A$80,E530))*(Aliases!$A$5:$A$80&lt;&gt;""),0),0)),"UNMATCHED"))</f>
        <v/>
      </c>
      <c r="M530" s="16"/>
      <c r="N530" s="16"/>
    </row>
    <row r="531" spans="1:14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6"/>
      <c r="L531" s="15" t="str">
        <f>IF(E531="","",IFERROR(INDEX(Aliases!$B$5:$B$80,MATCH(1,INDEX(ISNUMBER(SEARCH(Aliases!$A$5:$A$80,E531))*(Aliases!$A$5:$A$80&lt;&gt;""),0),0)),"UNMATCHED"))</f>
        <v/>
      </c>
      <c r="M531" s="16"/>
      <c r="N531" s="16"/>
    </row>
    <row r="532" spans="1:14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6"/>
      <c r="L532" s="15" t="str">
        <f>IF(E532="","",IFERROR(INDEX(Aliases!$B$5:$B$80,MATCH(1,INDEX(ISNUMBER(SEARCH(Aliases!$A$5:$A$80,E532))*(Aliases!$A$5:$A$80&lt;&gt;""),0),0)),"UNMATCHED"))</f>
        <v/>
      </c>
      <c r="M532" s="16"/>
      <c r="N532" s="16"/>
    </row>
    <row r="533" spans="1:14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6"/>
      <c r="L533" s="15" t="str">
        <f>IF(E533="","",IFERROR(INDEX(Aliases!$B$5:$B$80,MATCH(1,INDEX(ISNUMBER(SEARCH(Aliases!$A$5:$A$80,E533))*(Aliases!$A$5:$A$80&lt;&gt;""),0),0)),"UNMATCHED"))</f>
        <v/>
      </c>
      <c r="M533" s="16"/>
      <c r="N533" s="16"/>
    </row>
    <row r="534" spans="1:14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6"/>
      <c r="L534" s="15" t="str">
        <f>IF(E534="","",IFERROR(INDEX(Aliases!$B$5:$B$80,MATCH(1,INDEX(ISNUMBER(SEARCH(Aliases!$A$5:$A$80,E534))*(Aliases!$A$5:$A$80&lt;&gt;""),0),0)),"UNMATCHED"))</f>
        <v/>
      </c>
      <c r="M534" s="16"/>
      <c r="N534" s="16"/>
    </row>
    <row r="535" spans="1:14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6"/>
      <c r="L535" s="15" t="str">
        <f>IF(E535="","",IFERROR(INDEX(Aliases!$B$5:$B$80,MATCH(1,INDEX(ISNUMBER(SEARCH(Aliases!$A$5:$A$80,E535))*(Aliases!$A$5:$A$80&lt;&gt;""),0),0)),"UNMATCHED"))</f>
        <v/>
      </c>
      <c r="M535" s="16"/>
      <c r="N535" s="16"/>
    </row>
    <row r="536" spans="1:14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6"/>
      <c r="L536" s="15" t="str">
        <f>IF(E536="","",IFERROR(INDEX(Aliases!$B$5:$B$80,MATCH(1,INDEX(ISNUMBER(SEARCH(Aliases!$A$5:$A$80,E536))*(Aliases!$A$5:$A$80&lt;&gt;""),0),0)),"UNMATCHED"))</f>
        <v/>
      </c>
      <c r="M536" s="16"/>
      <c r="N536" s="16"/>
    </row>
    <row r="537" spans="1:14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6"/>
      <c r="L537" s="15" t="str">
        <f>IF(E537="","",IFERROR(INDEX(Aliases!$B$5:$B$80,MATCH(1,INDEX(ISNUMBER(SEARCH(Aliases!$A$5:$A$80,E537))*(Aliases!$A$5:$A$80&lt;&gt;""),0),0)),"UNMATCHED"))</f>
        <v/>
      </c>
      <c r="M537" s="16"/>
      <c r="N537" s="16"/>
    </row>
    <row r="538" spans="1:14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6"/>
      <c r="L538" s="15" t="str">
        <f>IF(E538="","",IFERROR(INDEX(Aliases!$B$5:$B$80,MATCH(1,INDEX(ISNUMBER(SEARCH(Aliases!$A$5:$A$80,E538))*(Aliases!$A$5:$A$80&lt;&gt;""),0),0)),"UNMATCHED"))</f>
        <v/>
      </c>
      <c r="M538" s="16"/>
      <c r="N538" s="16"/>
    </row>
    <row r="539" spans="1:14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6"/>
      <c r="L539" s="15" t="str">
        <f>IF(E539="","",IFERROR(INDEX(Aliases!$B$5:$B$80,MATCH(1,INDEX(ISNUMBER(SEARCH(Aliases!$A$5:$A$80,E539))*(Aliases!$A$5:$A$80&lt;&gt;""),0),0)),"UNMATCHED"))</f>
        <v/>
      </c>
      <c r="M539" s="16"/>
      <c r="N539" s="16"/>
    </row>
    <row r="540" spans="1:14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6"/>
      <c r="L540" s="15" t="str">
        <f>IF(E540="","",IFERROR(INDEX(Aliases!$B$5:$B$80,MATCH(1,INDEX(ISNUMBER(SEARCH(Aliases!$A$5:$A$80,E540))*(Aliases!$A$5:$A$80&lt;&gt;""),0),0)),"UNMATCHED"))</f>
        <v/>
      </c>
      <c r="M540" s="16"/>
      <c r="N540" s="16"/>
    </row>
    <row r="541" spans="1:14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6"/>
      <c r="L541" s="15" t="str">
        <f>IF(E541="","",IFERROR(INDEX(Aliases!$B$5:$B$80,MATCH(1,INDEX(ISNUMBER(SEARCH(Aliases!$A$5:$A$80,E541))*(Aliases!$A$5:$A$80&lt;&gt;""),0),0)),"UNMATCHED"))</f>
        <v/>
      </c>
      <c r="M541" s="16"/>
      <c r="N541" s="16"/>
    </row>
    <row r="542" spans="1:14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6"/>
      <c r="L542" s="15" t="str">
        <f>IF(E542="","",IFERROR(INDEX(Aliases!$B$5:$B$80,MATCH(1,INDEX(ISNUMBER(SEARCH(Aliases!$A$5:$A$80,E542))*(Aliases!$A$5:$A$80&lt;&gt;""),0),0)),"UNMATCHED"))</f>
        <v/>
      </c>
      <c r="M542" s="16"/>
      <c r="N542" s="16"/>
    </row>
    <row r="543" spans="1:14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6"/>
      <c r="L543" s="15" t="str">
        <f>IF(E543="","",IFERROR(INDEX(Aliases!$B$5:$B$80,MATCH(1,INDEX(ISNUMBER(SEARCH(Aliases!$A$5:$A$80,E543))*(Aliases!$A$5:$A$80&lt;&gt;""),0),0)),"UNMATCHED"))</f>
        <v/>
      </c>
      <c r="M543" s="16"/>
      <c r="N543" s="16"/>
    </row>
    <row r="544" spans="1:14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6"/>
      <c r="L544" s="15" t="str">
        <f>IF(E544="","",IFERROR(INDEX(Aliases!$B$5:$B$80,MATCH(1,INDEX(ISNUMBER(SEARCH(Aliases!$A$5:$A$80,E544))*(Aliases!$A$5:$A$80&lt;&gt;""),0),0)),"UNMATCHED"))</f>
        <v/>
      </c>
      <c r="M544" s="16"/>
      <c r="N544" s="16"/>
    </row>
    <row r="545" spans="1:14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6"/>
      <c r="L545" s="15" t="str">
        <f>IF(E545="","",IFERROR(INDEX(Aliases!$B$5:$B$80,MATCH(1,INDEX(ISNUMBER(SEARCH(Aliases!$A$5:$A$80,E545))*(Aliases!$A$5:$A$80&lt;&gt;""),0),0)),"UNMATCHED"))</f>
        <v/>
      </c>
      <c r="M545" s="16"/>
      <c r="N545" s="16"/>
    </row>
    <row r="546" spans="1:14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6"/>
      <c r="L546" s="15" t="str">
        <f>IF(E546="","",IFERROR(INDEX(Aliases!$B$5:$B$80,MATCH(1,INDEX(ISNUMBER(SEARCH(Aliases!$A$5:$A$80,E546))*(Aliases!$A$5:$A$80&lt;&gt;""),0),0)),"UNMATCHED"))</f>
        <v/>
      </c>
      <c r="M546" s="16"/>
      <c r="N546" s="16"/>
    </row>
    <row r="547" spans="1:14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6"/>
      <c r="L547" s="15" t="str">
        <f>IF(E547="","",IFERROR(INDEX(Aliases!$B$5:$B$80,MATCH(1,INDEX(ISNUMBER(SEARCH(Aliases!$A$5:$A$80,E547))*(Aliases!$A$5:$A$80&lt;&gt;""),0),0)),"UNMATCHED"))</f>
        <v/>
      </c>
      <c r="M547" s="16"/>
      <c r="N547" s="16"/>
    </row>
    <row r="548" spans="1:14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6"/>
      <c r="L548" s="15" t="str">
        <f>IF(E548="","",IFERROR(INDEX(Aliases!$B$5:$B$80,MATCH(1,INDEX(ISNUMBER(SEARCH(Aliases!$A$5:$A$80,E548))*(Aliases!$A$5:$A$80&lt;&gt;""),0),0)),"UNMATCHED"))</f>
        <v/>
      </c>
      <c r="M548" s="16"/>
      <c r="N548" s="16"/>
    </row>
    <row r="549" spans="1:14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6"/>
      <c r="L549" s="15" t="str">
        <f>IF(E549="","",IFERROR(INDEX(Aliases!$B$5:$B$80,MATCH(1,INDEX(ISNUMBER(SEARCH(Aliases!$A$5:$A$80,E549))*(Aliases!$A$5:$A$80&lt;&gt;""),0),0)),"UNMATCHED"))</f>
        <v/>
      </c>
      <c r="M549" s="16"/>
      <c r="N549" s="16"/>
    </row>
    <row r="550" spans="1:14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6"/>
      <c r="L550" s="15" t="str">
        <f>IF(E550="","",IFERROR(INDEX(Aliases!$B$5:$B$80,MATCH(1,INDEX(ISNUMBER(SEARCH(Aliases!$A$5:$A$80,E550))*(Aliases!$A$5:$A$80&lt;&gt;""),0),0)),"UNMATCHED"))</f>
        <v/>
      </c>
      <c r="M550" s="16"/>
      <c r="N550" s="16"/>
    </row>
    <row r="551" spans="1:14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6"/>
      <c r="L551" s="15" t="str">
        <f>IF(E551="","",IFERROR(INDEX(Aliases!$B$5:$B$80,MATCH(1,INDEX(ISNUMBER(SEARCH(Aliases!$A$5:$A$80,E551))*(Aliases!$A$5:$A$80&lt;&gt;""),0),0)),"UNMATCHED"))</f>
        <v/>
      </c>
      <c r="M551" s="16"/>
      <c r="N551" s="16"/>
    </row>
    <row r="552" spans="1:14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6"/>
      <c r="L552" s="15" t="str">
        <f>IF(E552="","",IFERROR(INDEX(Aliases!$B$5:$B$80,MATCH(1,INDEX(ISNUMBER(SEARCH(Aliases!$A$5:$A$80,E552))*(Aliases!$A$5:$A$80&lt;&gt;""),0),0)),"UNMATCHED"))</f>
        <v/>
      </c>
      <c r="M552" s="16"/>
      <c r="N552" s="16"/>
    </row>
    <row r="553" spans="1:14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6"/>
      <c r="L553" s="15" t="str">
        <f>IF(E553="","",IFERROR(INDEX(Aliases!$B$5:$B$80,MATCH(1,INDEX(ISNUMBER(SEARCH(Aliases!$A$5:$A$80,E553))*(Aliases!$A$5:$A$80&lt;&gt;""),0),0)),"UNMATCHED"))</f>
        <v/>
      </c>
      <c r="M553" s="16"/>
      <c r="N553" s="16"/>
    </row>
    <row r="554" spans="1:14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6"/>
      <c r="L554" s="15" t="str">
        <f>IF(E554="","",IFERROR(INDEX(Aliases!$B$5:$B$80,MATCH(1,INDEX(ISNUMBER(SEARCH(Aliases!$A$5:$A$80,E554))*(Aliases!$A$5:$A$80&lt;&gt;""),0),0)),"UNMATCHED"))</f>
        <v/>
      </c>
      <c r="M554" s="16"/>
      <c r="N554" s="16"/>
    </row>
    <row r="555" spans="1:14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6"/>
      <c r="L555" s="15" t="str">
        <f>IF(E555="","",IFERROR(INDEX(Aliases!$B$5:$B$80,MATCH(1,INDEX(ISNUMBER(SEARCH(Aliases!$A$5:$A$80,E555))*(Aliases!$A$5:$A$80&lt;&gt;""),0),0)),"UNMATCHED"))</f>
        <v/>
      </c>
      <c r="M555" s="16"/>
      <c r="N555" s="16"/>
    </row>
    <row r="556" spans="1:14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6"/>
      <c r="L556" s="15" t="str">
        <f>IF(E556="","",IFERROR(INDEX(Aliases!$B$5:$B$80,MATCH(1,INDEX(ISNUMBER(SEARCH(Aliases!$A$5:$A$80,E556))*(Aliases!$A$5:$A$80&lt;&gt;""),0),0)),"UNMATCHED"))</f>
        <v/>
      </c>
      <c r="M556" s="16"/>
      <c r="N556" s="16"/>
    </row>
    <row r="557" spans="1:14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6"/>
      <c r="L557" s="15" t="str">
        <f>IF(E557="","",IFERROR(INDEX(Aliases!$B$5:$B$80,MATCH(1,INDEX(ISNUMBER(SEARCH(Aliases!$A$5:$A$80,E557))*(Aliases!$A$5:$A$80&lt;&gt;""),0),0)),"UNMATCHED"))</f>
        <v/>
      </c>
      <c r="M557" s="16"/>
      <c r="N557" s="16"/>
    </row>
    <row r="558" spans="1:14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6"/>
      <c r="L558" s="15" t="str">
        <f>IF(E558="","",IFERROR(INDEX(Aliases!$B$5:$B$80,MATCH(1,INDEX(ISNUMBER(SEARCH(Aliases!$A$5:$A$80,E558))*(Aliases!$A$5:$A$80&lt;&gt;""),0),0)),"UNMATCHED"))</f>
        <v/>
      </c>
      <c r="M558" s="16"/>
      <c r="N558" s="16"/>
    </row>
    <row r="559" spans="1:14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6"/>
      <c r="L559" s="15" t="str">
        <f>IF(E559="","",IFERROR(INDEX(Aliases!$B$5:$B$80,MATCH(1,INDEX(ISNUMBER(SEARCH(Aliases!$A$5:$A$80,E559))*(Aliases!$A$5:$A$80&lt;&gt;""),0),0)),"UNMATCHED"))</f>
        <v/>
      </c>
      <c r="M559" s="16"/>
      <c r="N559" s="16"/>
    </row>
    <row r="560" spans="1:14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6"/>
      <c r="L560" s="15" t="str">
        <f>IF(E560="","",IFERROR(INDEX(Aliases!$B$5:$B$80,MATCH(1,INDEX(ISNUMBER(SEARCH(Aliases!$A$5:$A$80,E560))*(Aliases!$A$5:$A$80&lt;&gt;""),0),0)),"UNMATCHED"))</f>
        <v/>
      </c>
      <c r="M560" s="16"/>
      <c r="N560" s="16"/>
    </row>
    <row r="561" spans="1:14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6"/>
      <c r="L561" s="15" t="str">
        <f>IF(E561="","",IFERROR(INDEX(Aliases!$B$5:$B$80,MATCH(1,INDEX(ISNUMBER(SEARCH(Aliases!$A$5:$A$80,E561))*(Aliases!$A$5:$A$80&lt;&gt;""),0),0)),"UNMATCHED"))</f>
        <v/>
      </c>
      <c r="M561" s="16"/>
      <c r="N561" s="16"/>
    </row>
    <row r="562" spans="1:14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6"/>
      <c r="L562" s="15" t="str">
        <f>IF(E562="","",IFERROR(INDEX(Aliases!$B$5:$B$80,MATCH(1,INDEX(ISNUMBER(SEARCH(Aliases!$A$5:$A$80,E562))*(Aliases!$A$5:$A$80&lt;&gt;""),0),0)),"UNMATCHED"))</f>
        <v/>
      </c>
      <c r="M562" s="16"/>
      <c r="N562" s="16"/>
    </row>
    <row r="563" spans="1:14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6"/>
      <c r="L563" s="15" t="str">
        <f>IF(E563="","",IFERROR(INDEX(Aliases!$B$5:$B$80,MATCH(1,INDEX(ISNUMBER(SEARCH(Aliases!$A$5:$A$80,E563))*(Aliases!$A$5:$A$80&lt;&gt;""),0),0)),"UNMATCHED"))</f>
        <v/>
      </c>
      <c r="M563" s="16"/>
      <c r="N563" s="16"/>
    </row>
    <row r="564" spans="1:14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6"/>
      <c r="L564" s="15" t="str">
        <f>IF(E564="","",IFERROR(INDEX(Aliases!$B$5:$B$80,MATCH(1,INDEX(ISNUMBER(SEARCH(Aliases!$A$5:$A$80,E564))*(Aliases!$A$5:$A$80&lt;&gt;""),0),0)),"UNMATCHED"))</f>
        <v/>
      </c>
      <c r="M564" s="16"/>
      <c r="N564" s="16"/>
    </row>
    <row r="565" spans="1:14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6"/>
      <c r="L565" s="15" t="str">
        <f>IF(E565="","",IFERROR(INDEX(Aliases!$B$5:$B$80,MATCH(1,INDEX(ISNUMBER(SEARCH(Aliases!$A$5:$A$80,E565))*(Aliases!$A$5:$A$80&lt;&gt;""),0),0)),"UNMATCHED"))</f>
        <v/>
      </c>
      <c r="M565" s="16"/>
      <c r="N565" s="16"/>
    </row>
    <row r="566" spans="1:14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6"/>
      <c r="L566" s="15" t="str">
        <f>IF(E566="","",IFERROR(INDEX(Aliases!$B$5:$B$80,MATCH(1,INDEX(ISNUMBER(SEARCH(Aliases!$A$5:$A$80,E566))*(Aliases!$A$5:$A$80&lt;&gt;""),0),0)),"UNMATCHED"))</f>
        <v/>
      </c>
      <c r="M566" s="16"/>
      <c r="N566" s="16"/>
    </row>
    <row r="567" spans="1:14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6"/>
      <c r="L567" s="15" t="str">
        <f>IF(E567="","",IFERROR(INDEX(Aliases!$B$5:$B$80,MATCH(1,INDEX(ISNUMBER(SEARCH(Aliases!$A$5:$A$80,E567))*(Aliases!$A$5:$A$80&lt;&gt;""),0),0)),"UNMATCHED"))</f>
        <v/>
      </c>
      <c r="M567" s="16"/>
      <c r="N567" s="16"/>
    </row>
    <row r="568" spans="1:14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6"/>
      <c r="L568" s="15" t="str">
        <f>IF(E568="","",IFERROR(INDEX(Aliases!$B$5:$B$80,MATCH(1,INDEX(ISNUMBER(SEARCH(Aliases!$A$5:$A$80,E568))*(Aliases!$A$5:$A$80&lt;&gt;""),0),0)),"UNMATCHED"))</f>
        <v/>
      </c>
      <c r="M568" s="16"/>
      <c r="N568" s="16"/>
    </row>
    <row r="569" spans="1:14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6"/>
      <c r="L569" s="15" t="str">
        <f>IF(E569="","",IFERROR(INDEX(Aliases!$B$5:$B$80,MATCH(1,INDEX(ISNUMBER(SEARCH(Aliases!$A$5:$A$80,E569))*(Aliases!$A$5:$A$80&lt;&gt;""),0),0)),"UNMATCHED"))</f>
        <v/>
      </c>
      <c r="M569" s="16"/>
      <c r="N569" s="16"/>
    </row>
    <row r="570" spans="1:14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6"/>
      <c r="L570" s="15" t="str">
        <f>IF(E570="","",IFERROR(INDEX(Aliases!$B$5:$B$80,MATCH(1,INDEX(ISNUMBER(SEARCH(Aliases!$A$5:$A$80,E570))*(Aliases!$A$5:$A$80&lt;&gt;""),0),0)),"UNMATCHED"))</f>
        <v/>
      </c>
      <c r="M570" s="16"/>
      <c r="N570" s="16"/>
    </row>
    <row r="571" spans="1:14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6"/>
      <c r="L571" s="15" t="str">
        <f>IF(E571="","",IFERROR(INDEX(Aliases!$B$5:$B$80,MATCH(1,INDEX(ISNUMBER(SEARCH(Aliases!$A$5:$A$80,E571))*(Aliases!$A$5:$A$80&lt;&gt;""),0),0)),"UNMATCHED"))</f>
        <v/>
      </c>
      <c r="M571" s="16"/>
      <c r="N571" s="16"/>
    </row>
    <row r="572" spans="1:14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6"/>
      <c r="L572" s="15" t="str">
        <f>IF(E572="","",IFERROR(INDEX(Aliases!$B$5:$B$80,MATCH(1,INDEX(ISNUMBER(SEARCH(Aliases!$A$5:$A$80,E572))*(Aliases!$A$5:$A$80&lt;&gt;""),0),0)),"UNMATCHED"))</f>
        <v/>
      </c>
      <c r="M572" s="16"/>
      <c r="N572" s="16"/>
    </row>
    <row r="573" spans="1:14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6"/>
      <c r="L573" s="15" t="str">
        <f>IF(E573="","",IFERROR(INDEX(Aliases!$B$5:$B$80,MATCH(1,INDEX(ISNUMBER(SEARCH(Aliases!$A$5:$A$80,E573))*(Aliases!$A$5:$A$80&lt;&gt;""),0),0)),"UNMATCHED"))</f>
        <v/>
      </c>
      <c r="M573" s="16"/>
      <c r="N573" s="16"/>
    </row>
    <row r="574" spans="1:14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6"/>
      <c r="L574" s="15" t="str">
        <f>IF(E574="","",IFERROR(INDEX(Aliases!$B$5:$B$80,MATCH(1,INDEX(ISNUMBER(SEARCH(Aliases!$A$5:$A$80,E574))*(Aliases!$A$5:$A$80&lt;&gt;""),0),0)),"UNMATCHED"))</f>
        <v/>
      </c>
      <c r="M574" s="16"/>
      <c r="N574" s="16"/>
    </row>
    <row r="575" spans="1:14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6"/>
      <c r="L575" s="15" t="str">
        <f>IF(E575="","",IFERROR(INDEX(Aliases!$B$5:$B$80,MATCH(1,INDEX(ISNUMBER(SEARCH(Aliases!$A$5:$A$80,E575))*(Aliases!$A$5:$A$80&lt;&gt;""),0),0)),"UNMATCHED"))</f>
        <v/>
      </c>
      <c r="M575" s="16"/>
      <c r="N575" s="16"/>
    </row>
    <row r="576" spans="1:14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6"/>
      <c r="L576" s="15" t="str">
        <f>IF(E576="","",IFERROR(INDEX(Aliases!$B$5:$B$80,MATCH(1,INDEX(ISNUMBER(SEARCH(Aliases!$A$5:$A$80,E576))*(Aliases!$A$5:$A$80&lt;&gt;""),0),0)),"UNMATCHED"))</f>
        <v/>
      </c>
      <c r="M576" s="16"/>
      <c r="N576" s="16"/>
    </row>
    <row r="577" spans="1:14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6"/>
      <c r="L577" s="15" t="str">
        <f>IF(E577="","",IFERROR(INDEX(Aliases!$B$5:$B$80,MATCH(1,INDEX(ISNUMBER(SEARCH(Aliases!$A$5:$A$80,E577))*(Aliases!$A$5:$A$80&lt;&gt;""),0),0)),"UNMATCHED"))</f>
        <v/>
      </c>
      <c r="M577" s="16"/>
      <c r="N577" s="16"/>
    </row>
    <row r="578" spans="1:14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6"/>
      <c r="L578" s="15" t="str">
        <f>IF(E578="","",IFERROR(INDEX(Aliases!$B$5:$B$80,MATCH(1,INDEX(ISNUMBER(SEARCH(Aliases!$A$5:$A$80,E578))*(Aliases!$A$5:$A$80&lt;&gt;""),0),0)),"UNMATCHED"))</f>
        <v/>
      </c>
      <c r="M578" s="16"/>
      <c r="N578" s="16"/>
    </row>
    <row r="579" spans="1:14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6"/>
      <c r="L579" s="15" t="str">
        <f>IF(E579="","",IFERROR(INDEX(Aliases!$B$5:$B$80,MATCH(1,INDEX(ISNUMBER(SEARCH(Aliases!$A$5:$A$80,E579))*(Aliases!$A$5:$A$80&lt;&gt;""),0),0)),"UNMATCHED"))</f>
        <v/>
      </c>
      <c r="M579" s="16"/>
      <c r="N579" s="16"/>
    </row>
    <row r="580" spans="1:14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6"/>
      <c r="L580" s="15" t="str">
        <f>IF(E580="","",IFERROR(INDEX(Aliases!$B$5:$B$80,MATCH(1,INDEX(ISNUMBER(SEARCH(Aliases!$A$5:$A$80,E580))*(Aliases!$A$5:$A$80&lt;&gt;""),0),0)),"UNMATCHED"))</f>
        <v/>
      </c>
      <c r="M580" s="16"/>
      <c r="N580" s="16"/>
    </row>
    <row r="581" spans="1:14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6"/>
      <c r="L581" s="15" t="str">
        <f>IF(E581="","",IFERROR(INDEX(Aliases!$B$5:$B$80,MATCH(1,INDEX(ISNUMBER(SEARCH(Aliases!$A$5:$A$80,E581))*(Aliases!$A$5:$A$80&lt;&gt;""),0),0)),"UNMATCHED"))</f>
        <v/>
      </c>
      <c r="M581" s="16"/>
      <c r="N581" s="16"/>
    </row>
    <row r="582" spans="1:14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6"/>
      <c r="L582" s="15" t="str">
        <f>IF(E582="","",IFERROR(INDEX(Aliases!$B$5:$B$80,MATCH(1,INDEX(ISNUMBER(SEARCH(Aliases!$A$5:$A$80,E582))*(Aliases!$A$5:$A$80&lt;&gt;""),0),0)),"UNMATCHED"))</f>
        <v/>
      </c>
      <c r="M582" s="16"/>
      <c r="N582" s="16"/>
    </row>
    <row r="583" spans="1:14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6"/>
      <c r="L583" s="15" t="str">
        <f>IF(E583="","",IFERROR(INDEX(Aliases!$B$5:$B$80,MATCH(1,INDEX(ISNUMBER(SEARCH(Aliases!$A$5:$A$80,E583))*(Aliases!$A$5:$A$80&lt;&gt;""),0),0)),"UNMATCHED"))</f>
        <v/>
      </c>
      <c r="M583" s="16"/>
      <c r="N583" s="16"/>
    </row>
    <row r="584" spans="1:14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6"/>
      <c r="L584" s="15" t="str">
        <f>IF(E584="","",IFERROR(INDEX(Aliases!$B$5:$B$80,MATCH(1,INDEX(ISNUMBER(SEARCH(Aliases!$A$5:$A$80,E584))*(Aliases!$A$5:$A$80&lt;&gt;""),0),0)),"UNMATCHED"))</f>
        <v/>
      </c>
      <c r="M584" s="16"/>
      <c r="N584" s="16"/>
    </row>
    <row r="585" spans="1:14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6"/>
      <c r="L585" s="15" t="str">
        <f>IF(E585="","",IFERROR(INDEX(Aliases!$B$5:$B$80,MATCH(1,INDEX(ISNUMBER(SEARCH(Aliases!$A$5:$A$80,E585))*(Aliases!$A$5:$A$80&lt;&gt;""),0),0)),"UNMATCHED"))</f>
        <v/>
      </c>
      <c r="M585" s="16"/>
      <c r="N585" s="16"/>
    </row>
    <row r="586" spans="1:14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6"/>
      <c r="L586" s="15" t="str">
        <f>IF(E586="","",IFERROR(INDEX(Aliases!$B$5:$B$80,MATCH(1,INDEX(ISNUMBER(SEARCH(Aliases!$A$5:$A$80,E586))*(Aliases!$A$5:$A$80&lt;&gt;""),0),0)),"UNMATCHED"))</f>
        <v/>
      </c>
      <c r="M586" s="16"/>
      <c r="N586" s="16"/>
    </row>
    <row r="587" spans="1:14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6"/>
      <c r="L587" s="15" t="str">
        <f>IF(E587="","",IFERROR(INDEX(Aliases!$B$5:$B$80,MATCH(1,INDEX(ISNUMBER(SEARCH(Aliases!$A$5:$A$80,E587))*(Aliases!$A$5:$A$80&lt;&gt;""),0),0)),"UNMATCHED"))</f>
        <v/>
      </c>
      <c r="M587" s="16"/>
      <c r="N587" s="16"/>
    </row>
    <row r="588" spans="1:14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6"/>
      <c r="L588" s="15" t="str">
        <f>IF(E588="","",IFERROR(INDEX(Aliases!$B$5:$B$80,MATCH(1,INDEX(ISNUMBER(SEARCH(Aliases!$A$5:$A$80,E588))*(Aliases!$A$5:$A$80&lt;&gt;""),0),0)),"UNMATCHED"))</f>
        <v/>
      </c>
      <c r="M588" s="16"/>
      <c r="N588" s="16"/>
    </row>
    <row r="589" spans="1:14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6"/>
      <c r="L589" s="15" t="str">
        <f>IF(E589="","",IFERROR(INDEX(Aliases!$B$5:$B$80,MATCH(1,INDEX(ISNUMBER(SEARCH(Aliases!$A$5:$A$80,E589))*(Aliases!$A$5:$A$80&lt;&gt;""),0),0)),"UNMATCHED"))</f>
        <v/>
      </c>
      <c r="M589" s="16"/>
      <c r="N589" s="16"/>
    </row>
    <row r="590" spans="1:14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6"/>
      <c r="L590" s="15" t="str">
        <f>IF(E590="","",IFERROR(INDEX(Aliases!$B$5:$B$80,MATCH(1,INDEX(ISNUMBER(SEARCH(Aliases!$A$5:$A$80,E590))*(Aliases!$A$5:$A$80&lt;&gt;""),0),0)),"UNMATCHED"))</f>
        <v/>
      </c>
      <c r="M590" s="16"/>
      <c r="N590" s="16"/>
    </row>
    <row r="591" spans="1:14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6"/>
      <c r="L591" s="15" t="str">
        <f>IF(E591="","",IFERROR(INDEX(Aliases!$B$5:$B$80,MATCH(1,INDEX(ISNUMBER(SEARCH(Aliases!$A$5:$A$80,E591))*(Aliases!$A$5:$A$80&lt;&gt;""),0),0)),"UNMATCHED"))</f>
        <v/>
      </c>
      <c r="M591" s="16"/>
      <c r="N591" s="16"/>
    </row>
    <row r="592" spans="1:14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6"/>
      <c r="L592" s="15" t="str">
        <f>IF(E592="","",IFERROR(INDEX(Aliases!$B$5:$B$80,MATCH(1,INDEX(ISNUMBER(SEARCH(Aliases!$A$5:$A$80,E592))*(Aliases!$A$5:$A$80&lt;&gt;""),0),0)),"UNMATCHED"))</f>
        <v/>
      </c>
      <c r="M592" s="16"/>
      <c r="N592" s="16"/>
    </row>
    <row r="593" spans="1:14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6"/>
      <c r="L593" s="15" t="str">
        <f>IF(E593="","",IFERROR(INDEX(Aliases!$B$5:$B$80,MATCH(1,INDEX(ISNUMBER(SEARCH(Aliases!$A$5:$A$80,E593))*(Aliases!$A$5:$A$80&lt;&gt;""),0),0)),"UNMATCHED"))</f>
        <v/>
      </c>
      <c r="M593" s="16"/>
      <c r="N593" s="16"/>
    </row>
    <row r="594" spans="1:14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6"/>
      <c r="L594" s="15" t="str">
        <f>IF(E594="","",IFERROR(INDEX(Aliases!$B$5:$B$80,MATCH(1,INDEX(ISNUMBER(SEARCH(Aliases!$A$5:$A$80,E594))*(Aliases!$A$5:$A$80&lt;&gt;""),0),0)),"UNMATCHED"))</f>
        <v/>
      </c>
      <c r="M594" s="16"/>
      <c r="N594" s="16"/>
    </row>
    <row r="595" spans="1:14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6"/>
      <c r="L595" s="15" t="str">
        <f>IF(E595="","",IFERROR(INDEX(Aliases!$B$5:$B$80,MATCH(1,INDEX(ISNUMBER(SEARCH(Aliases!$A$5:$A$80,E595))*(Aliases!$A$5:$A$80&lt;&gt;""),0),0)),"UNMATCHED"))</f>
        <v/>
      </c>
      <c r="M595" s="16"/>
      <c r="N595" s="16"/>
    </row>
    <row r="596" spans="1:14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6"/>
      <c r="L596" s="15" t="str">
        <f>IF(E596="","",IFERROR(INDEX(Aliases!$B$5:$B$80,MATCH(1,INDEX(ISNUMBER(SEARCH(Aliases!$A$5:$A$80,E596))*(Aliases!$A$5:$A$80&lt;&gt;""),0),0)),"UNMATCHED"))</f>
        <v/>
      </c>
      <c r="M596" s="16"/>
      <c r="N596" s="16"/>
    </row>
    <row r="597" spans="1:14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6"/>
      <c r="L597" s="15" t="str">
        <f>IF(E597="","",IFERROR(INDEX(Aliases!$B$5:$B$80,MATCH(1,INDEX(ISNUMBER(SEARCH(Aliases!$A$5:$A$80,E597))*(Aliases!$A$5:$A$80&lt;&gt;""),0),0)),"UNMATCHED"))</f>
        <v/>
      </c>
      <c r="M597" s="16"/>
      <c r="N597" s="16"/>
    </row>
    <row r="598" spans="1:14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6"/>
      <c r="L598" s="15" t="str">
        <f>IF(E598="","",IFERROR(INDEX(Aliases!$B$5:$B$80,MATCH(1,INDEX(ISNUMBER(SEARCH(Aliases!$A$5:$A$80,E598))*(Aliases!$A$5:$A$80&lt;&gt;""),0),0)),"UNMATCHED"))</f>
        <v/>
      </c>
      <c r="M598" s="16"/>
      <c r="N598" s="16"/>
    </row>
    <row r="599" spans="1:14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6"/>
      <c r="L599" s="15" t="str">
        <f>IF(E599="","",IFERROR(INDEX(Aliases!$B$5:$B$80,MATCH(1,INDEX(ISNUMBER(SEARCH(Aliases!$A$5:$A$80,E599))*(Aliases!$A$5:$A$80&lt;&gt;""),0),0)),"UNMATCHED"))</f>
        <v/>
      </c>
      <c r="M599" s="16"/>
      <c r="N599" s="16"/>
    </row>
    <row r="600" spans="1:14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6"/>
      <c r="L600" s="15" t="str">
        <f>IF(E600="","",IFERROR(INDEX(Aliases!$B$5:$B$80,MATCH(1,INDEX(ISNUMBER(SEARCH(Aliases!$A$5:$A$80,E600))*(Aliases!$A$5:$A$80&lt;&gt;""),0),0)),"UNMATCHED"))</f>
        <v/>
      </c>
      <c r="M600" s="16"/>
      <c r="N600" s="16"/>
    </row>
    <row r="601" spans="1:14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6"/>
      <c r="L601" s="15" t="str">
        <f>IF(E601="","",IFERROR(INDEX(Aliases!$B$5:$B$80,MATCH(1,INDEX(ISNUMBER(SEARCH(Aliases!$A$5:$A$80,E601))*(Aliases!$A$5:$A$80&lt;&gt;""),0),0)),"UNMATCHED"))</f>
        <v/>
      </c>
      <c r="M601" s="16"/>
      <c r="N601" s="16"/>
    </row>
    <row r="602" spans="1:14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6"/>
      <c r="L602" s="15" t="str">
        <f>IF(E602="","",IFERROR(INDEX(Aliases!$B$5:$B$80,MATCH(1,INDEX(ISNUMBER(SEARCH(Aliases!$A$5:$A$80,E602))*(Aliases!$A$5:$A$80&lt;&gt;""),0),0)),"UNMATCHED"))</f>
        <v/>
      </c>
      <c r="M602" s="16"/>
      <c r="N602" s="16"/>
    </row>
    <row r="603" spans="1:14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6"/>
      <c r="L603" s="15" t="str">
        <f>IF(E603="","",IFERROR(INDEX(Aliases!$B$5:$B$80,MATCH(1,INDEX(ISNUMBER(SEARCH(Aliases!$A$5:$A$80,E603))*(Aliases!$A$5:$A$80&lt;&gt;""),0),0)),"UNMATCHED"))</f>
        <v/>
      </c>
      <c r="M603" s="16"/>
      <c r="N603" s="16"/>
    </row>
    <row r="604" spans="1:14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6"/>
      <c r="L604" s="15" t="str">
        <f>IF(E604="","",IFERROR(INDEX(Aliases!$B$5:$B$80,MATCH(1,INDEX(ISNUMBER(SEARCH(Aliases!$A$5:$A$80,E604))*(Aliases!$A$5:$A$80&lt;&gt;""),0),0)),"UNMATCHED"))</f>
        <v/>
      </c>
      <c r="M604" s="16"/>
      <c r="N604" s="16"/>
    </row>
    <row r="605" spans="1:14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6"/>
      <c r="L605" s="15" t="str">
        <f>IF(E605="","",IFERROR(INDEX(Aliases!$B$5:$B$80,MATCH(1,INDEX(ISNUMBER(SEARCH(Aliases!$A$5:$A$80,E605))*(Aliases!$A$5:$A$80&lt;&gt;""),0),0)),"UNMATCHED"))</f>
        <v/>
      </c>
      <c r="M605" s="16"/>
      <c r="N605" s="16"/>
    </row>
    <row r="606" spans="1:14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6"/>
      <c r="L606" s="15" t="str">
        <f>IF(E606="","",IFERROR(INDEX(Aliases!$B$5:$B$80,MATCH(1,INDEX(ISNUMBER(SEARCH(Aliases!$A$5:$A$80,E606))*(Aliases!$A$5:$A$80&lt;&gt;""),0),0)),"UNMATCHED"))</f>
        <v/>
      </c>
      <c r="M606" s="16"/>
      <c r="N606" s="16"/>
    </row>
    <row r="607" spans="1:14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6"/>
      <c r="L607" s="15" t="str">
        <f>IF(E607="","",IFERROR(INDEX(Aliases!$B$5:$B$80,MATCH(1,INDEX(ISNUMBER(SEARCH(Aliases!$A$5:$A$80,E607))*(Aliases!$A$5:$A$80&lt;&gt;""),0),0)),"UNMATCHED"))</f>
        <v/>
      </c>
      <c r="M607" s="16"/>
      <c r="N607" s="16"/>
    </row>
    <row r="608" spans="1:14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6"/>
      <c r="L608" s="15" t="str">
        <f>IF(E608="","",IFERROR(INDEX(Aliases!$B$5:$B$80,MATCH(1,INDEX(ISNUMBER(SEARCH(Aliases!$A$5:$A$80,E608))*(Aliases!$A$5:$A$80&lt;&gt;""),0),0)),"UNMATCHED"))</f>
        <v/>
      </c>
      <c r="M608" s="16"/>
      <c r="N608" s="16"/>
    </row>
    <row r="609" spans="1:14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6"/>
      <c r="L609" s="15" t="str">
        <f>IF(E609="","",IFERROR(INDEX(Aliases!$B$5:$B$80,MATCH(1,INDEX(ISNUMBER(SEARCH(Aliases!$A$5:$A$80,E609))*(Aliases!$A$5:$A$80&lt;&gt;""),0),0)),"UNMATCHED"))</f>
        <v/>
      </c>
      <c r="M609" s="16"/>
      <c r="N609" s="16"/>
    </row>
    <row r="610" spans="1:14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6"/>
      <c r="L610" s="15" t="str">
        <f>IF(E610="","",IFERROR(INDEX(Aliases!$B$5:$B$80,MATCH(1,INDEX(ISNUMBER(SEARCH(Aliases!$A$5:$A$80,E610))*(Aliases!$A$5:$A$80&lt;&gt;""),0),0)),"UNMATCHED"))</f>
        <v/>
      </c>
      <c r="M610" s="16"/>
      <c r="N610" s="16"/>
    </row>
    <row r="611" spans="1:14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6"/>
      <c r="L611" s="15" t="str">
        <f>IF(E611="","",IFERROR(INDEX(Aliases!$B$5:$B$80,MATCH(1,INDEX(ISNUMBER(SEARCH(Aliases!$A$5:$A$80,E611))*(Aliases!$A$5:$A$80&lt;&gt;""),0),0)),"UNMATCHED"))</f>
        <v/>
      </c>
      <c r="M611" s="16"/>
      <c r="N611" s="16"/>
    </row>
    <row r="612" spans="1:14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6"/>
      <c r="L612" s="15" t="str">
        <f>IF(E612="","",IFERROR(INDEX(Aliases!$B$5:$B$80,MATCH(1,INDEX(ISNUMBER(SEARCH(Aliases!$A$5:$A$80,E612))*(Aliases!$A$5:$A$80&lt;&gt;""),0),0)),"UNMATCHED"))</f>
        <v/>
      </c>
      <c r="M612" s="16"/>
      <c r="N612" s="16"/>
    </row>
    <row r="613" spans="1:14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6"/>
      <c r="L613" s="15" t="str">
        <f>IF(E613="","",IFERROR(INDEX(Aliases!$B$5:$B$80,MATCH(1,INDEX(ISNUMBER(SEARCH(Aliases!$A$5:$A$80,E613))*(Aliases!$A$5:$A$80&lt;&gt;""),0),0)),"UNMATCHED"))</f>
        <v/>
      </c>
      <c r="M613" s="16"/>
      <c r="N613" s="16"/>
    </row>
    <row r="614" spans="1:14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6"/>
      <c r="L614" s="15" t="str">
        <f>IF(E614="","",IFERROR(INDEX(Aliases!$B$5:$B$80,MATCH(1,INDEX(ISNUMBER(SEARCH(Aliases!$A$5:$A$80,E614))*(Aliases!$A$5:$A$80&lt;&gt;""),0),0)),"UNMATCHED"))</f>
        <v/>
      </c>
      <c r="M614" s="16"/>
      <c r="N614" s="16"/>
    </row>
    <row r="615" spans="1:14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6"/>
      <c r="L615" s="15" t="str">
        <f>IF(E615="","",IFERROR(INDEX(Aliases!$B$5:$B$80,MATCH(1,INDEX(ISNUMBER(SEARCH(Aliases!$A$5:$A$80,E615))*(Aliases!$A$5:$A$80&lt;&gt;""),0),0)),"UNMATCHED"))</f>
        <v/>
      </c>
      <c r="M615" s="16"/>
      <c r="N615" s="16"/>
    </row>
    <row r="616" spans="1:14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6"/>
      <c r="L616" s="15" t="str">
        <f>IF(E616="","",IFERROR(INDEX(Aliases!$B$5:$B$80,MATCH(1,INDEX(ISNUMBER(SEARCH(Aliases!$A$5:$A$80,E616))*(Aliases!$A$5:$A$80&lt;&gt;""),0),0)),"UNMATCHED"))</f>
        <v/>
      </c>
      <c r="M616" s="16"/>
      <c r="N616" s="16"/>
    </row>
    <row r="617" spans="1:14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6"/>
      <c r="L617" s="15" t="str">
        <f>IF(E617="","",IFERROR(INDEX(Aliases!$B$5:$B$80,MATCH(1,INDEX(ISNUMBER(SEARCH(Aliases!$A$5:$A$80,E617))*(Aliases!$A$5:$A$80&lt;&gt;""),0),0)),"UNMATCHED"))</f>
        <v/>
      </c>
      <c r="M617" s="16"/>
      <c r="N617" s="16"/>
    </row>
    <row r="618" spans="1:14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6"/>
      <c r="L618" s="15" t="str">
        <f>IF(E618="","",IFERROR(INDEX(Aliases!$B$5:$B$80,MATCH(1,INDEX(ISNUMBER(SEARCH(Aliases!$A$5:$A$80,E618))*(Aliases!$A$5:$A$80&lt;&gt;""),0),0)),"UNMATCHED"))</f>
        <v/>
      </c>
      <c r="M618" s="16"/>
      <c r="N618" s="16"/>
    </row>
    <row r="619" spans="1:14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6"/>
      <c r="L619" s="15" t="str">
        <f>IF(E619="","",IFERROR(INDEX(Aliases!$B$5:$B$80,MATCH(1,INDEX(ISNUMBER(SEARCH(Aliases!$A$5:$A$80,E619))*(Aliases!$A$5:$A$80&lt;&gt;""),0),0)),"UNMATCHED"))</f>
        <v/>
      </c>
      <c r="M619" s="16"/>
      <c r="N619" s="16"/>
    </row>
    <row r="620" spans="1:14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6"/>
      <c r="L620" s="15" t="str">
        <f>IF(E620="","",IFERROR(INDEX(Aliases!$B$5:$B$80,MATCH(1,INDEX(ISNUMBER(SEARCH(Aliases!$A$5:$A$80,E620))*(Aliases!$A$5:$A$80&lt;&gt;""),0),0)),"UNMATCHED"))</f>
        <v/>
      </c>
      <c r="M620" s="16"/>
      <c r="N620" s="16"/>
    </row>
    <row r="621" spans="1:14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6"/>
      <c r="L621" s="15" t="str">
        <f>IF(E621="","",IFERROR(INDEX(Aliases!$B$5:$B$80,MATCH(1,INDEX(ISNUMBER(SEARCH(Aliases!$A$5:$A$80,E621))*(Aliases!$A$5:$A$80&lt;&gt;""),0),0)),"UNMATCHED"))</f>
        <v/>
      </c>
      <c r="M621" s="16"/>
      <c r="N621" s="16"/>
    </row>
    <row r="622" spans="1:14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6"/>
      <c r="L622" s="15" t="str">
        <f>IF(E622="","",IFERROR(INDEX(Aliases!$B$5:$B$80,MATCH(1,INDEX(ISNUMBER(SEARCH(Aliases!$A$5:$A$80,E622))*(Aliases!$A$5:$A$80&lt;&gt;""),0),0)),"UNMATCHED"))</f>
        <v/>
      </c>
      <c r="M622" s="16"/>
      <c r="N622" s="16"/>
    </row>
    <row r="623" spans="1:14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6"/>
      <c r="L623" s="15" t="str">
        <f>IF(E623="","",IFERROR(INDEX(Aliases!$B$5:$B$80,MATCH(1,INDEX(ISNUMBER(SEARCH(Aliases!$A$5:$A$80,E623))*(Aliases!$A$5:$A$80&lt;&gt;""),0),0)),"UNMATCHED"))</f>
        <v/>
      </c>
      <c r="M623" s="16"/>
      <c r="N623" s="16"/>
    </row>
    <row r="624" spans="1:14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6"/>
      <c r="L624" s="15" t="str">
        <f>IF(E624="","",IFERROR(INDEX(Aliases!$B$5:$B$80,MATCH(1,INDEX(ISNUMBER(SEARCH(Aliases!$A$5:$A$80,E624))*(Aliases!$A$5:$A$80&lt;&gt;""),0),0)),"UNMATCHED"))</f>
        <v/>
      </c>
      <c r="M624" s="16"/>
      <c r="N624" s="16"/>
    </row>
    <row r="625" spans="1:14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6"/>
      <c r="L625" s="15" t="str">
        <f>IF(E625="","",IFERROR(INDEX(Aliases!$B$5:$B$80,MATCH(1,INDEX(ISNUMBER(SEARCH(Aliases!$A$5:$A$80,E625))*(Aliases!$A$5:$A$80&lt;&gt;""),0),0)),"UNMATCHED"))</f>
        <v/>
      </c>
      <c r="M625" s="16"/>
      <c r="N625" s="16"/>
    </row>
    <row r="626" spans="1:14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6"/>
      <c r="L626" s="15" t="str">
        <f>IF(E626="","",IFERROR(INDEX(Aliases!$B$5:$B$80,MATCH(1,INDEX(ISNUMBER(SEARCH(Aliases!$A$5:$A$80,E626))*(Aliases!$A$5:$A$80&lt;&gt;""),0),0)),"UNMATCHED"))</f>
        <v/>
      </c>
      <c r="M626" s="16"/>
      <c r="N626" s="16"/>
    </row>
    <row r="627" spans="1:14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6"/>
      <c r="L627" s="15" t="str">
        <f>IF(E627="","",IFERROR(INDEX(Aliases!$B$5:$B$80,MATCH(1,INDEX(ISNUMBER(SEARCH(Aliases!$A$5:$A$80,E627))*(Aliases!$A$5:$A$80&lt;&gt;""),0),0)),"UNMATCHED"))</f>
        <v/>
      </c>
      <c r="M627" s="16"/>
      <c r="N627" s="16"/>
    </row>
    <row r="628" spans="1:14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6"/>
      <c r="L628" s="15" t="str">
        <f>IF(E628="","",IFERROR(INDEX(Aliases!$B$5:$B$80,MATCH(1,INDEX(ISNUMBER(SEARCH(Aliases!$A$5:$A$80,E628))*(Aliases!$A$5:$A$80&lt;&gt;""),0),0)),"UNMATCHED"))</f>
        <v/>
      </c>
      <c r="M628" s="16"/>
      <c r="N628" s="16"/>
    </row>
    <row r="629" spans="1:14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6"/>
      <c r="L629" s="15" t="str">
        <f>IF(E629="","",IFERROR(INDEX(Aliases!$B$5:$B$80,MATCH(1,INDEX(ISNUMBER(SEARCH(Aliases!$A$5:$A$80,E629))*(Aliases!$A$5:$A$80&lt;&gt;""),0),0)),"UNMATCHED"))</f>
        <v/>
      </c>
      <c r="M629" s="16"/>
      <c r="N629" s="16"/>
    </row>
    <row r="630" spans="1:14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6"/>
      <c r="L630" s="15" t="str">
        <f>IF(E630="","",IFERROR(INDEX(Aliases!$B$5:$B$80,MATCH(1,INDEX(ISNUMBER(SEARCH(Aliases!$A$5:$A$80,E630))*(Aliases!$A$5:$A$80&lt;&gt;""),0),0)),"UNMATCHED"))</f>
        <v/>
      </c>
      <c r="M630" s="16"/>
      <c r="N630" s="16"/>
    </row>
    <row r="631" spans="1:14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6"/>
      <c r="L631" s="15" t="str">
        <f>IF(E631="","",IFERROR(INDEX(Aliases!$B$5:$B$80,MATCH(1,INDEX(ISNUMBER(SEARCH(Aliases!$A$5:$A$80,E631))*(Aliases!$A$5:$A$80&lt;&gt;""),0),0)),"UNMATCHED"))</f>
        <v/>
      </c>
      <c r="M631" s="16"/>
      <c r="N631" s="16"/>
    </row>
    <row r="632" spans="1:14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6"/>
      <c r="L632" s="15" t="str">
        <f>IF(E632="","",IFERROR(INDEX(Aliases!$B$5:$B$80,MATCH(1,INDEX(ISNUMBER(SEARCH(Aliases!$A$5:$A$80,E632))*(Aliases!$A$5:$A$80&lt;&gt;""),0),0)),"UNMATCHED"))</f>
        <v/>
      </c>
      <c r="M632" s="16"/>
      <c r="N632" s="16"/>
    </row>
    <row r="633" spans="1:14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6"/>
      <c r="L633" s="15" t="str">
        <f>IF(E633="","",IFERROR(INDEX(Aliases!$B$5:$B$80,MATCH(1,INDEX(ISNUMBER(SEARCH(Aliases!$A$5:$A$80,E633))*(Aliases!$A$5:$A$80&lt;&gt;""),0),0)),"UNMATCHED"))</f>
        <v/>
      </c>
      <c r="M633" s="16"/>
      <c r="N633" s="16"/>
    </row>
    <row r="634" spans="1:14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6"/>
      <c r="L634" s="15" t="str">
        <f>IF(E634="","",IFERROR(INDEX(Aliases!$B$5:$B$80,MATCH(1,INDEX(ISNUMBER(SEARCH(Aliases!$A$5:$A$80,E634))*(Aliases!$A$5:$A$80&lt;&gt;""),0),0)),"UNMATCHED"))</f>
        <v/>
      </c>
      <c r="M634" s="16"/>
      <c r="N634" s="16"/>
    </row>
    <row r="635" spans="1:14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6"/>
      <c r="L635" s="15" t="str">
        <f>IF(E635="","",IFERROR(INDEX(Aliases!$B$5:$B$80,MATCH(1,INDEX(ISNUMBER(SEARCH(Aliases!$A$5:$A$80,E635))*(Aliases!$A$5:$A$80&lt;&gt;""),0),0)),"UNMATCHED"))</f>
        <v/>
      </c>
      <c r="M635" s="16"/>
      <c r="N635" s="16"/>
    </row>
    <row r="636" spans="1:14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6"/>
      <c r="L636" s="15" t="str">
        <f>IF(E636="","",IFERROR(INDEX(Aliases!$B$5:$B$80,MATCH(1,INDEX(ISNUMBER(SEARCH(Aliases!$A$5:$A$80,E636))*(Aliases!$A$5:$A$80&lt;&gt;""),0),0)),"UNMATCHED"))</f>
        <v/>
      </c>
      <c r="M636" s="16"/>
      <c r="N636" s="16"/>
    </row>
    <row r="637" spans="1:14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6"/>
      <c r="L637" s="15" t="str">
        <f>IF(E637="","",IFERROR(INDEX(Aliases!$B$5:$B$80,MATCH(1,INDEX(ISNUMBER(SEARCH(Aliases!$A$5:$A$80,E637))*(Aliases!$A$5:$A$80&lt;&gt;""),0),0)),"UNMATCHED"))</f>
        <v/>
      </c>
      <c r="M637" s="16"/>
      <c r="N637" s="16"/>
    </row>
    <row r="638" spans="1:14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6"/>
      <c r="L638" s="15" t="str">
        <f>IF(E638="","",IFERROR(INDEX(Aliases!$B$5:$B$80,MATCH(1,INDEX(ISNUMBER(SEARCH(Aliases!$A$5:$A$80,E638))*(Aliases!$A$5:$A$80&lt;&gt;""),0),0)),"UNMATCHED"))</f>
        <v/>
      </c>
      <c r="M638" s="16"/>
      <c r="N638" s="16"/>
    </row>
    <row r="639" spans="1:14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6"/>
      <c r="L639" s="15" t="str">
        <f>IF(E639="","",IFERROR(INDEX(Aliases!$B$5:$B$80,MATCH(1,INDEX(ISNUMBER(SEARCH(Aliases!$A$5:$A$80,E639))*(Aliases!$A$5:$A$80&lt;&gt;""),0),0)),"UNMATCHED"))</f>
        <v/>
      </c>
      <c r="M639" s="16"/>
      <c r="N639" s="16"/>
    </row>
    <row r="640" spans="1:14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6"/>
      <c r="L640" s="15" t="str">
        <f>IF(E640="","",IFERROR(INDEX(Aliases!$B$5:$B$80,MATCH(1,INDEX(ISNUMBER(SEARCH(Aliases!$A$5:$A$80,E640))*(Aliases!$A$5:$A$80&lt;&gt;""),0),0)),"UNMATCHED"))</f>
        <v/>
      </c>
      <c r="M640" s="16"/>
      <c r="N640" s="16"/>
    </row>
    <row r="641" spans="1:14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6"/>
      <c r="L641" s="15" t="str">
        <f>IF(E641="","",IFERROR(INDEX(Aliases!$B$5:$B$80,MATCH(1,INDEX(ISNUMBER(SEARCH(Aliases!$A$5:$A$80,E641))*(Aliases!$A$5:$A$80&lt;&gt;""),0),0)),"UNMATCHED"))</f>
        <v/>
      </c>
      <c r="M641" s="16"/>
      <c r="N641" s="16"/>
    </row>
    <row r="642" spans="1:14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6"/>
      <c r="L642" s="15" t="str">
        <f>IF(E642="","",IFERROR(INDEX(Aliases!$B$5:$B$80,MATCH(1,INDEX(ISNUMBER(SEARCH(Aliases!$A$5:$A$80,E642))*(Aliases!$A$5:$A$80&lt;&gt;""),0),0)),"UNMATCHED"))</f>
        <v/>
      </c>
      <c r="M642" s="16"/>
      <c r="N642" s="16"/>
    </row>
    <row r="643" spans="1:14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6"/>
      <c r="L643" s="15" t="str">
        <f>IF(E643="","",IFERROR(INDEX(Aliases!$B$5:$B$80,MATCH(1,INDEX(ISNUMBER(SEARCH(Aliases!$A$5:$A$80,E643))*(Aliases!$A$5:$A$80&lt;&gt;""),0),0)),"UNMATCHED"))</f>
        <v/>
      </c>
      <c r="M643" s="16"/>
      <c r="N643" s="16"/>
    </row>
    <row r="644" spans="1:14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6"/>
      <c r="L644" s="15" t="str">
        <f>IF(E644="","",IFERROR(INDEX(Aliases!$B$5:$B$80,MATCH(1,INDEX(ISNUMBER(SEARCH(Aliases!$A$5:$A$80,E644))*(Aliases!$A$5:$A$80&lt;&gt;""),0),0)),"UNMATCHED"))</f>
        <v/>
      </c>
      <c r="M644" s="16"/>
      <c r="N644" s="16"/>
    </row>
    <row r="645" spans="1:14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6"/>
      <c r="L645" s="15" t="str">
        <f>IF(E645="","",IFERROR(INDEX(Aliases!$B$5:$B$80,MATCH(1,INDEX(ISNUMBER(SEARCH(Aliases!$A$5:$A$80,E645))*(Aliases!$A$5:$A$80&lt;&gt;""),0),0)),"UNMATCHED"))</f>
        <v/>
      </c>
      <c r="M645" s="16"/>
      <c r="N645" s="16"/>
    </row>
    <row r="646" spans="1:14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6"/>
      <c r="L646" s="15" t="str">
        <f>IF(E646="","",IFERROR(INDEX(Aliases!$B$5:$B$80,MATCH(1,INDEX(ISNUMBER(SEARCH(Aliases!$A$5:$A$80,E646))*(Aliases!$A$5:$A$80&lt;&gt;""),0),0)),"UNMATCHED"))</f>
        <v/>
      </c>
      <c r="M646" s="16"/>
      <c r="N646" s="16"/>
    </row>
    <row r="647" spans="1:14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6"/>
      <c r="L647" s="15" t="str">
        <f>IF(E647="","",IFERROR(INDEX(Aliases!$B$5:$B$80,MATCH(1,INDEX(ISNUMBER(SEARCH(Aliases!$A$5:$A$80,E647))*(Aliases!$A$5:$A$80&lt;&gt;""),0),0)),"UNMATCHED"))</f>
        <v/>
      </c>
      <c r="M647" s="16"/>
      <c r="N647" s="16"/>
    </row>
    <row r="648" spans="1:14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6"/>
      <c r="L648" s="15" t="str">
        <f>IF(E648="","",IFERROR(INDEX(Aliases!$B$5:$B$80,MATCH(1,INDEX(ISNUMBER(SEARCH(Aliases!$A$5:$A$80,E648))*(Aliases!$A$5:$A$80&lt;&gt;""),0),0)),"UNMATCHED"))</f>
        <v/>
      </c>
      <c r="M648" s="16"/>
      <c r="N648" s="16"/>
    </row>
    <row r="649" spans="1:14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6"/>
      <c r="L649" s="15" t="str">
        <f>IF(E649="","",IFERROR(INDEX(Aliases!$B$5:$B$80,MATCH(1,INDEX(ISNUMBER(SEARCH(Aliases!$A$5:$A$80,E649))*(Aliases!$A$5:$A$80&lt;&gt;""),0),0)),"UNMATCHED"))</f>
        <v/>
      </c>
      <c r="M649" s="16"/>
      <c r="N649" s="16"/>
    </row>
    <row r="650" spans="1:14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6"/>
      <c r="L650" s="15" t="str">
        <f>IF(E650="","",IFERROR(INDEX(Aliases!$B$5:$B$80,MATCH(1,INDEX(ISNUMBER(SEARCH(Aliases!$A$5:$A$80,E650))*(Aliases!$A$5:$A$80&lt;&gt;""),0),0)),"UNMATCHED"))</f>
        <v/>
      </c>
      <c r="M650" s="16"/>
      <c r="N650" s="16"/>
    </row>
    <row r="651" spans="1:14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6"/>
      <c r="L651" s="15" t="str">
        <f>IF(E651="","",IFERROR(INDEX(Aliases!$B$5:$B$80,MATCH(1,INDEX(ISNUMBER(SEARCH(Aliases!$A$5:$A$80,E651))*(Aliases!$A$5:$A$80&lt;&gt;""),0),0)),"UNMATCHED"))</f>
        <v/>
      </c>
      <c r="M651" s="16"/>
      <c r="N651" s="16"/>
    </row>
    <row r="652" spans="1:14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6"/>
      <c r="L652" s="15" t="str">
        <f>IF(E652="","",IFERROR(INDEX(Aliases!$B$5:$B$80,MATCH(1,INDEX(ISNUMBER(SEARCH(Aliases!$A$5:$A$80,E652))*(Aliases!$A$5:$A$80&lt;&gt;""),0),0)),"UNMATCHED"))</f>
        <v/>
      </c>
      <c r="M652" s="16"/>
      <c r="N652" s="16"/>
    </row>
    <row r="653" spans="1:14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6"/>
      <c r="L653" s="15" t="str">
        <f>IF(E653="","",IFERROR(INDEX(Aliases!$B$5:$B$80,MATCH(1,INDEX(ISNUMBER(SEARCH(Aliases!$A$5:$A$80,E653))*(Aliases!$A$5:$A$80&lt;&gt;""),0),0)),"UNMATCHED"))</f>
        <v/>
      </c>
      <c r="M653" s="16"/>
      <c r="N653" s="16"/>
    </row>
    <row r="654" spans="1:14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6"/>
      <c r="L654" s="15" t="str">
        <f>IF(E654="","",IFERROR(INDEX(Aliases!$B$5:$B$80,MATCH(1,INDEX(ISNUMBER(SEARCH(Aliases!$A$5:$A$80,E654))*(Aliases!$A$5:$A$80&lt;&gt;""),0),0)),"UNMATCHED"))</f>
        <v/>
      </c>
      <c r="M654" s="16"/>
      <c r="N654" s="16"/>
    </row>
    <row r="655" spans="1:14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6"/>
      <c r="L655" s="15" t="str">
        <f>IF(E655="","",IFERROR(INDEX(Aliases!$B$5:$B$80,MATCH(1,INDEX(ISNUMBER(SEARCH(Aliases!$A$5:$A$80,E655))*(Aliases!$A$5:$A$80&lt;&gt;""),0),0)),"UNMATCHED"))</f>
        <v/>
      </c>
      <c r="M655" s="16"/>
      <c r="N655" s="16"/>
    </row>
    <row r="656" spans="1:14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6"/>
      <c r="L656" s="15" t="str">
        <f>IF(E656="","",IFERROR(INDEX(Aliases!$B$5:$B$80,MATCH(1,INDEX(ISNUMBER(SEARCH(Aliases!$A$5:$A$80,E656))*(Aliases!$A$5:$A$80&lt;&gt;""),0),0)),"UNMATCHED"))</f>
        <v/>
      </c>
      <c r="M656" s="16"/>
      <c r="N656" s="16"/>
    </row>
    <row r="657" spans="1:14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6"/>
      <c r="L657" s="15" t="str">
        <f>IF(E657="","",IFERROR(INDEX(Aliases!$B$5:$B$80,MATCH(1,INDEX(ISNUMBER(SEARCH(Aliases!$A$5:$A$80,E657))*(Aliases!$A$5:$A$80&lt;&gt;""),0),0)),"UNMATCHED"))</f>
        <v/>
      </c>
      <c r="M657" s="16"/>
      <c r="N657" s="16"/>
    </row>
    <row r="658" spans="1:14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6"/>
      <c r="L658" s="15" t="str">
        <f>IF(E658="","",IFERROR(INDEX(Aliases!$B$5:$B$80,MATCH(1,INDEX(ISNUMBER(SEARCH(Aliases!$A$5:$A$80,E658))*(Aliases!$A$5:$A$80&lt;&gt;""),0),0)),"UNMATCHED"))</f>
        <v/>
      </c>
      <c r="M658" s="16"/>
      <c r="N658" s="16"/>
    </row>
    <row r="659" spans="1:14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6"/>
      <c r="L659" s="15" t="str">
        <f>IF(E659="","",IFERROR(INDEX(Aliases!$B$5:$B$80,MATCH(1,INDEX(ISNUMBER(SEARCH(Aliases!$A$5:$A$80,E659))*(Aliases!$A$5:$A$80&lt;&gt;""),0),0)),"UNMATCHED"))</f>
        <v/>
      </c>
      <c r="M659" s="16"/>
      <c r="N659" s="16"/>
    </row>
    <row r="660" spans="1:14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6"/>
      <c r="L660" s="15" t="str">
        <f>IF(E660="","",IFERROR(INDEX(Aliases!$B$5:$B$80,MATCH(1,INDEX(ISNUMBER(SEARCH(Aliases!$A$5:$A$80,E660))*(Aliases!$A$5:$A$80&lt;&gt;""),0),0)),"UNMATCHED"))</f>
        <v/>
      </c>
      <c r="M660" s="16"/>
      <c r="N660" s="16"/>
    </row>
    <row r="661" spans="1:14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6"/>
      <c r="L661" s="15" t="str">
        <f>IF(E661="","",IFERROR(INDEX(Aliases!$B$5:$B$80,MATCH(1,INDEX(ISNUMBER(SEARCH(Aliases!$A$5:$A$80,E661))*(Aliases!$A$5:$A$80&lt;&gt;""),0),0)),"UNMATCHED"))</f>
        <v/>
      </c>
      <c r="M661" s="16"/>
      <c r="N661" s="16"/>
    </row>
    <row r="662" spans="1:14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6"/>
      <c r="L662" s="15" t="str">
        <f>IF(E662="","",IFERROR(INDEX(Aliases!$B$5:$B$80,MATCH(1,INDEX(ISNUMBER(SEARCH(Aliases!$A$5:$A$80,E662))*(Aliases!$A$5:$A$80&lt;&gt;""),0),0)),"UNMATCHED"))</f>
        <v/>
      </c>
      <c r="M662" s="16"/>
      <c r="N662" s="16"/>
    </row>
    <row r="663" spans="1:14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6"/>
      <c r="L663" s="15" t="str">
        <f>IF(E663="","",IFERROR(INDEX(Aliases!$B$5:$B$80,MATCH(1,INDEX(ISNUMBER(SEARCH(Aliases!$A$5:$A$80,E663))*(Aliases!$A$5:$A$80&lt;&gt;""),0),0)),"UNMATCHED"))</f>
        <v/>
      </c>
      <c r="M663" s="16"/>
      <c r="N663" s="16"/>
    </row>
    <row r="664" spans="1:14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6"/>
      <c r="L664" s="15" t="str">
        <f>IF(E664="","",IFERROR(INDEX(Aliases!$B$5:$B$80,MATCH(1,INDEX(ISNUMBER(SEARCH(Aliases!$A$5:$A$80,E664))*(Aliases!$A$5:$A$80&lt;&gt;""),0),0)),"UNMATCHED"))</f>
        <v/>
      </c>
      <c r="M664" s="16"/>
      <c r="N664" s="16"/>
    </row>
    <row r="665" spans="1:14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6"/>
      <c r="L665" s="15" t="str">
        <f>IF(E665="","",IFERROR(INDEX(Aliases!$B$5:$B$80,MATCH(1,INDEX(ISNUMBER(SEARCH(Aliases!$A$5:$A$80,E665))*(Aliases!$A$5:$A$80&lt;&gt;""),0),0)),"UNMATCHED"))</f>
        <v/>
      </c>
      <c r="M665" s="16"/>
      <c r="N665" s="16"/>
    </row>
    <row r="666" spans="1:14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6"/>
      <c r="L666" s="15" t="str">
        <f>IF(E666="","",IFERROR(INDEX(Aliases!$B$5:$B$80,MATCH(1,INDEX(ISNUMBER(SEARCH(Aliases!$A$5:$A$80,E666))*(Aliases!$A$5:$A$80&lt;&gt;""),0),0)),"UNMATCHED"))</f>
        <v/>
      </c>
      <c r="M666" s="16"/>
      <c r="N666" s="16"/>
    </row>
    <row r="667" spans="1:14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6"/>
      <c r="L667" s="15" t="str">
        <f>IF(E667="","",IFERROR(INDEX(Aliases!$B$5:$B$80,MATCH(1,INDEX(ISNUMBER(SEARCH(Aliases!$A$5:$A$80,E667))*(Aliases!$A$5:$A$80&lt;&gt;""),0),0)),"UNMATCHED"))</f>
        <v/>
      </c>
      <c r="M667" s="16"/>
      <c r="N667" s="16"/>
    </row>
    <row r="668" spans="1:14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6"/>
      <c r="L668" s="15" t="str">
        <f>IF(E668="","",IFERROR(INDEX(Aliases!$B$5:$B$80,MATCH(1,INDEX(ISNUMBER(SEARCH(Aliases!$A$5:$A$80,E668))*(Aliases!$A$5:$A$80&lt;&gt;""),0),0)),"UNMATCHED"))</f>
        <v/>
      </c>
      <c r="M668" s="16"/>
      <c r="N668" s="16"/>
    </row>
    <row r="669" spans="1:14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6"/>
      <c r="L669" s="15" t="str">
        <f>IF(E669="","",IFERROR(INDEX(Aliases!$B$5:$B$80,MATCH(1,INDEX(ISNUMBER(SEARCH(Aliases!$A$5:$A$80,E669))*(Aliases!$A$5:$A$80&lt;&gt;""),0),0)),"UNMATCHED"))</f>
        <v/>
      </c>
      <c r="M669" s="16"/>
      <c r="N669" s="16"/>
    </row>
    <row r="670" spans="1:14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6"/>
      <c r="L670" s="15" t="str">
        <f>IF(E670="","",IFERROR(INDEX(Aliases!$B$5:$B$80,MATCH(1,INDEX(ISNUMBER(SEARCH(Aliases!$A$5:$A$80,E670))*(Aliases!$A$5:$A$80&lt;&gt;""),0),0)),"UNMATCHED"))</f>
        <v/>
      </c>
      <c r="M670" s="16"/>
      <c r="N670" s="16"/>
    </row>
    <row r="671" spans="1:14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6"/>
      <c r="L671" s="15" t="str">
        <f>IF(E671="","",IFERROR(INDEX(Aliases!$B$5:$B$80,MATCH(1,INDEX(ISNUMBER(SEARCH(Aliases!$A$5:$A$80,E671))*(Aliases!$A$5:$A$80&lt;&gt;""),0),0)),"UNMATCHED"))</f>
        <v/>
      </c>
      <c r="M671" s="16"/>
      <c r="N671" s="16"/>
    </row>
    <row r="672" spans="1:14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6"/>
      <c r="L672" s="15" t="str">
        <f>IF(E672="","",IFERROR(INDEX(Aliases!$B$5:$B$80,MATCH(1,INDEX(ISNUMBER(SEARCH(Aliases!$A$5:$A$80,E672))*(Aliases!$A$5:$A$80&lt;&gt;""),0),0)),"UNMATCHED"))</f>
        <v/>
      </c>
      <c r="M672" s="16"/>
      <c r="N672" s="16"/>
    </row>
    <row r="673" spans="1:14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6"/>
      <c r="L673" s="15" t="str">
        <f>IF(E673="","",IFERROR(INDEX(Aliases!$B$5:$B$80,MATCH(1,INDEX(ISNUMBER(SEARCH(Aliases!$A$5:$A$80,E673))*(Aliases!$A$5:$A$80&lt;&gt;""),0),0)),"UNMATCHED"))</f>
        <v/>
      </c>
      <c r="M673" s="16"/>
      <c r="N673" s="16"/>
    </row>
    <row r="674" spans="1:14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6"/>
      <c r="L674" s="15" t="str">
        <f>IF(E674="","",IFERROR(INDEX(Aliases!$B$5:$B$80,MATCH(1,INDEX(ISNUMBER(SEARCH(Aliases!$A$5:$A$80,E674))*(Aliases!$A$5:$A$80&lt;&gt;""),0),0)),"UNMATCHED"))</f>
        <v/>
      </c>
      <c r="M674" s="16"/>
      <c r="N674" s="16"/>
    </row>
    <row r="675" spans="1:14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6"/>
      <c r="L675" s="15" t="str">
        <f>IF(E675="","",IFERROR(INDEX(Aliases!$B$5:$B$80,MATCH(1,INDEX(ISNUMBER(SEARCH(Aliases!$A$5:$A$80,E675))*(Aliases!$A$5:$A$80&lt;&gt;""),0),0)),"UNMATCHED"))</f>
        <v/>
      </c>
      <c r="M675" s="16"/>
      <c r="N675" s="16"/>
    </row>
    <row r="676" spans="1:14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6"/>
      <c r="L676" s="15" t="str">
        <f>IF(E676="","",IFERROR(INDEX(Aliases!$B$5:$B$80,MATCH(1,INDEX(ISNUMBER(SEARCH(Aliases!$A$5:$A$80,E676))*(Aliases!$A$5:$A$80&lt;&gt;""),0),0)),"UNMATCHED"))</f>
        <v/>
      </c>
      <c r="M676" s="16"/>
      <c r="N676" s="16"/>
    </row>
    <row r="677" spans="1:14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6"/>
      <c r="L677" s="15" t="str">
        <f>IF(E677="","",IFERROR(INDEX(Aliases!$B$5:$B$80,MATCH(1,INDEX(ISNUMBER(SEARCH(Aliases!$A$5:$A$80,E677))*(Aliases!$A$5:$A$80&lt;&gt;""),0),0)),"UNMATCHED"))</f>
        <v/>
      </c>
      <c r="M677" s="16"/>
      <c r="N677" s="16"/>
    </row>
    <row r="678" spans="1:14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6"/>
      <c r="L678" s="15" t="str">
        <f>IF(E678="","",IFERROR(INDEX(Aliases!$B$5:$B$80,MATCH(1,INDEX(ISNUMBER(SEARCH(Aliases!$A$5:$A$80,E678))*(Aliases!$A$5:$A$80&lt;&gt;""),0),0)),"UNMATCHED"))</f>
        <v/>
      </c>
      <c r="M678" s="16"/>
      <c r="N678" s="16"/>
    </row>
    <row r="679" spans="1:14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6"/>
      <c r="L679" s="15" t="str">
        <f>IF(E679="","",IFERROR(INDEX(Aliases!$B$5:$B$80,MATCH(1,INDEX(ISNUMBER(SEARCH(Aliases!$A$5:$A$80,E679))*(Aliases!$A$5:$A$80&lt;&gt;""),0),0)),"UNMATCHED"))</f>
        <v/>
      </c>
      <c r="M679" s="16"/>
      <c r="N679" s="16"/>
    </row>
    <row r="680" spans="1:14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6"/>
      <c r="L680" s="15" t="str">
        <f>IF(E680="","",IFERROR(INDEX(Aliases!$B$5:$B$80,MATCH(1,INDEX(ISNUMBER(SEARCH(Aliases!$A$5:$A$80,E680))*(Aliases!$A$5:$A$80&lt;&gt;""),0),0)),"UNMATCHED"))</f>
        <v/>
      </c>
      <c r="M680" s="16"/>
      <c r="N680" s="16"/>
    </row>
    <row r="681" spans="1:14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6"/>
      <c r="L681" s="15" t="str">
        <f>IF(E681="","",IFERROR(INDEX(Aliases!$B$5:$B$80,MATCH(1,INDEX(ISNUMBER(SEARCH(Aliases!$A$5:$A$80,E681))*(Aliases!$A$5:$A$80&lt;&gt;""),0),0)),"UNMATCHED"))</f>
        <v/>
      </c>
      <c r="M681" s="16"/>
      <c r="N681" s="16"/>
    </row>
    <row r="682" spans="1:14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6"/>
      <c r="L682" s="15" t="str">
        <f>IF(E682="","",IFERROR(INDEX(Aliases!$B$5:$B$80,MATCH(1,INDEX(ISNUMBER(SEARCH(Aliases!$A$5:$A$80,E682))*(Aliases!$A$5:$A$80&lt;&gt;""),0),0)),"UNMATCHED"))</f>
        <v/>
      </c>
      <c r="M682" s="16"/>
      <c r="N682" s="16"/>
    </row>
    <row r="683" spans="1:14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6"/>
      <c r="L683" s="15" t="str">
        <f>IF(E683="","",IFERROR(INDEX(Aliases!$B$5:$B$80,MATCH(1,INDEX(ISNUMBER(SEARCH(Aliases!$A$5:$A$80,E683))*(Aliases!$A$5:$A$80&lt;&gt;""),0),0)),"UNMATCHED"))</f>
        <v/>
      </c>
      <c r="M683" s="16"/>
      <c r="N683" s="16"/>
    </row>
    <row r="684" spans="1:14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6"/>
      <c r="L684" s="15" t="str">
        <f>IF(E684="","",IFERROR(INDEX(Aliases!$B$5:$B$80,MATCH(1,INDEX(ISNUMBER(SEARCH(Aliases!$A$5:$A$80,E684))*(Aliases!$A$5:$A$80&lt;&gt;""),0),0)),"UNMATCHED"))</f>
        <v/>
      </c>
      <c r="M684" s="16"/>
      <c r="N684" s="16"/>
    </row>
    <row r="685" spans="1:14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6"/>
      <c r="L685" s="15" t="str">
        <f>IF(E685="","",IFERROR(INDEX(Aliases!$B$5:$B$80,MATCH(1,INDEX(ISNUMBER(SEARCH(Aliases!$A$5:$A$80,E685))*(Aliases!$A$5:$A$80&lt;&gt;""),0),0)),"UNMATCHED"))</f>
        <v/>
      </c>
      <c r="M685" s="16"/>
      <c r="N685" s="16"/>
    </row>
    <row r="686" spans="1:14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6"/>
      <c r="L686" s="15" t="str">
        <f>IF(E686="","",IFERROR(INDEX(Aliases!$B$5:$B$80,MATCH(1,INDEX(ISNUMBER(SEARCH(Aliases!$A$5:$A$80,E686))*(Aliases!$A$5:$A$80&lt;&gt;""),0),0)),"UNMATCHED"))</f>
        <v/>
      </c>
      <c r="M686" s="16"/>
      <c r="N686" s="16"/>
    </row>
    <row r="687" spans="1:14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6"/>
      <c r="L687" s="15" t="str">
        <f>IF(E687="","",IFERROR(INDEX(Aliases!$B$5:$B$80,MATCH(1,INDEX(ISNUMBER(SEARCH(Aliases!$A$5:$A$80,E687))*(Aliases!$A$5:$A$80&lt;&gt;""),0),0)),"UNMATCHED"))</f>
        <v/>
      </c>
      <c r="M687" s="16"/>
      <c r="N687" s="16"/>
    </row>
    <row r="688" spans="1:14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6"/>
      <c r="L688" s="15" t="str">
        <f>IF(E688="","",IFERROR(INDEX(Aliases!$B$5:$B$80,MATCH(1,INDEX(ISNUMBER(SEARCH(Aliases!$A$5:$A$80,E688))*(Aliases!$A$5:$A$80&lt;&gt;""),0),0)),"UNMATCHED"))</f>
        <v/>
      </c>
      <c r="M688" s="16"/>
      <c r="N688" s="16"/>
    </row>
    <row r="689" spans="1:14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6"/>
      <c r="L689" s="15" t="str">
        <f>IF(E689="","",IFERROR(INDEX(Aliases!$B$5:$B$80,MATCH(1,INDEX(ISNUMBER(SEARCH(Aliases!$A$5:$A$80,E689))*(Aliases!$A$5:$A$80&lt;&gt;""),0),0)),"UNMATCHED"))</f>
        <v/>
      </c>
      <c r="M689" s="16"/>
      <c r="N689" s="16"/>
    </row>
    <row r="690" spans="1:14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6"/>
      <c r="L690" s="15" t="str">
        <f>IF(E690="","",IFERROR(INDEX(Aliases!$B$5:$B$80,MATCH(1,INDEX(ISNUMBER(SEARCH(Aliases!$A$5:$A$80,E690))*(Aliases!$A$5:$A$80&lt;&gt;""),0),0)),"UNMATCHED"))</f>
        <v/>
      </c>
      <c r="M690" s="16"/>
      <c r="N690" s="16"/>
    </row>
    <row r="691" spans="1:14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6"/>
      <c r="L691" s="15" t="str">
        <f>IF(E691="","",IFERROR(INDEX(Aliases!$B$5:$B$80,MATCH(1,INDEX(ISNUMBER(SEARCH(Aliases!$A$5:$A$80,E691))*(Aliases!$A$5:$A$80&lt;&gt;""),0),0)),"UNMATCHED"))</f>
        <v/>
      </c>
      <c r="M691" s="16"/>
      <c r="N691" s="16"/>
    </row>
    <row r="692" spans="1:14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6"/>
      <c r="L692" s="15" t="str">
        <f>IF(E692="","",IFERROR(INDEX(Aliases!$B$5:$B$80,MATCH(1,INDEX(ISNUMBER(SEARCH(Aliases!$A$5:$A$80,E692))*(Aliases!$A$5:$A$80&lt;&gt;""),0),0)),"UNMATCHED"))</f>
        <v/>
      </c>
      <c r="M692" s="16"/>
      <c r="N692" s="16"/>
    </row>
    <row r="693" spans="1:14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6"/>
      <c r="L693" s="15" t="str">
        <f>IF(E693="","",IFERROR(INDEX(Aliases!$B$5:$B$80,MATCH(1,INDEX(ISNUMBER(SEARCH(Aliases!$A$5:$A$80,E693))*(Aliases!$A$5:$A$80&lt;&gt;""),0),0)),"UNMATCHED"))</f>
        <v/>
      </c>
      <c r="M693" s="16"/>
      <c r="N693" s="16"/>
    </row>
    <row r="694" spans="1:14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6"/>
      <c r="L694" s="15" t="str">
        <f>IF(E694="","",IFERROR(INDEX(Aliases!$B$5:$B$80,MATCH(1,INDEX(ISNUMBER(SEARCH(Aliases!$A$5:$A$80,E694))*(Aliases!$A$5:$A$80&lt;&gt;""),0),0)),"UNMATCHED"))</f>
        <v/>
      </c>
      <c r="M694" s="16"/>
      <c r="N694" s="16"/>
    </row>
    <row r="695" spans="1:14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6"/>
      <c r="L695" s="15" t="str">
        <f>IF(E695="","",IFERROR(INDEX(Aliases!$B$5:$B$80,MATCH(1,INDEX(ISNUMBER(SEARCH(Aliases!$A$5:$A$80,E695))*(Aliases!$A$5:$A$80&lt;&gt;""),0),0)),"UNMATCHED"))</f>
        <v/>
      </c>
      <c r="M695" s="16"/>
      <c r="N695" s="16"/>
    </row>
    <row r="696" spans="1:14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6"/>
      <c r="L696" s="15" t="str">
        <f>IF(E696="","",IFERROR(INDEX(Aliases!$B$5:$B$80,MATCH(1,INDEX(ISNUMBER(SEARCH(Aliases!$A$5:$A$80,E696))*(Aliases!$A$5:$A$80&lt;&gt;""),0),0)),"UNMATCHED"))</f>
        <v/>
      </c>
      <c r="M696" s="16"/>
      <c r="N696" s="16"/>
    </row>
    <row r="697" spans="1:14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6"/>
      <c r="L697" s="15" t="str">
        <f>IF(E697="","",IFERROR(INDEX(Aliases!$B$5:$B$80,MATCH(1,INDEX(ISNUMBER(SEARCH(Aliases!$A$5:$A$80,E697))*(Aliases!$A$5:$A$80&lt;&gt;""),0),0)),"UNMATCHED"))</f>
        <v/>
      </c>
      <c r="M697" s="16"/>
      <c r="N697" s="16"/>
    </row>
    <row r="698" spans="1:14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6"/>
      <c r="L698" s="15" t="str">
        <f>IF(E698="","",IFERROR(INDEX(Aliases!$B$5:$B$80,MATCH(1,INDEX(ISNUMBER(SEARCH(Aliases!$A$5:$A$80,E698))*(Aliases!$A$5:$A$80&lt;&gt;""),0),0)),"UNMATCHED"))</f>
        <v/>
      </c>
      <c r="M698" s="16"/>
      <c r="N698" s="16"/>
    </row>
    <row r="699" spans="1:14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6"/>
      <c r="L699" s="15" t="str">
        <f>IF(E699="","",IFERROR(INDEX(Aliases!$B$5:$B$80,MATCH(1,INDEX(ISNUMBER(SEARCH(Aliases!$A$5:$A$80,E699))*(Aliases!$A$5:$A$80&lt;&gt;""),0),0)),"UNMATCHED"))</f>
        <v/>
      </c>
      <c r="M699" s="16"/>
      <c r="N699" s="16"/>
    </row>
    <row r="700" spans="1:14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6"/>
      <c r="L700" s="15" t="str">
        <f>IF(E700="","",IFERROR(INDEX(Aliases!$B$5:$B$80,MATCH(1,INDEX(ISNUMBER(SEARCH(Aliases!$A$5:$A$80,E700))*(Aliases!$A$5:$A$80&lt;&gt;""),0),0)),"UNMATCHED"))</f>
        <v/>
      </c>
      <c r="M700" s="16"/>
      <c r="N700" s="16"/>
    </row>
    <row r="701" spans="1:14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6"/>
      <c r="L701" s="15" t="str">
        <f>IF(E701="","",IFERROR(INDEX(Aliases!$B$5:$B$80,MATCH(1,INDEX(ISNUMBER(SEARCH(Aliases!$A$5:$A$80,E701))*(Aliases!$A$5:$A$80&lt;&gt;""),0),0)),"UNMATCHED"))</f>
        <v/>
      </c>
      <c r="M701" s="16"/>
      <c r="N701" s="16"/>
    </row>
    <row r="702" spans="1:14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6"/>
      <c r="L702" s="15" t="str">
        <f>IF(E702="","",IFERROR(INDEX(Aliases!$B$5:$B$80,MATCH(1,INDEX(ISNUMBER(SEARCH(Aliases!$A$5:$A$80,E702))*(Aliases!$A$5:$A$80&lt;&gt;""),0),0)),"UNMATCHED"))</f>
        <v/>
      </c>
      <c r="M702" s="16"/>
      <c r="N702" s="16"/>
    </row>
    <row r="703" spans="1:14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6"/>
      <c r="L703" s="15" t="str">
        <f>IF(E703="","",IFERROR(INDEX(Aliases!$B$5:$B$80,MATCH(1,INDEX(ISNUMBER(SEARCH(Aliases!$A$5:$A$80,E703))*(Aliases!$A$5:$A$80&lt;&gt;""),0),0)),"UNMATCHED"))</f>
        <v/>
      </c>
      <c r="M703" s="16"/>
      <c r="N703" s="16"/>
    </row>
    <row r="704" spans="1:14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6"/>
      <c r="L704" s="15" t="str">
        <f>IF(E704="","",IFERROR(INDEX(Aliases!$B$5:$B$80,MATCH(1,INDEX(ISNUMBER(SEARCH(Aliases!$A$5:$A$80,E704))*(Aliases!$A$5:$A$80&lt;&gt;""),0),0)),"UNMATCHED"))</f>
        <v/>
      </c>
      <c r="M704" s="16"/>
      <c r="N704" s="16"/>
    </row>
    <row r="705" spans="1:14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6"/>
      <c r="L705" s="15" t="str">
        <f>IF(E705="","",IFERROR(INDEX(Aliases!$B$5:$B$80,MATCH(1,INDEX(ISNUMBER(SEARCH(Aliases!$A$5:$A$80,E705))*(Aliases!$A$5:$A$80&lt;&gt;""),0),0)),"UNMATCHED"))</f>
        <v/>
      </c>
      <c r="M705" s="16"/>
      <c r="N705" s="16"/>
    </row>
    <row r="706" spans="1:14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6"/>
      <c r="L706" s="15" t="str">
        <f>IF(E706="","",IFERROR(INDEX(Aliases!$B$5:$B$80,MATCH(1,INDEX(ISNUMBER(SEARCH(Aliases!$A$5:$A$80,E706))*(Aliases!$A$5:$A$80&lt;&gt;""),0),0)),"UNMATCHED"))</f>
        <v/>
      </c>
      <c r="M706" s="16"/>
      <c r="N706" s="16"/>
    </row>
    <row r="707" spans="1:14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6"/>
      <c r="L707" s="15" t="str">
        <f>IF(E707="","",IFERROR(INDEX(Aliases!$B$5:$B$80,MATCH(1,INDEX(ISNUMBER(SEARCH(Aliases!$A$5:$A$80,E707))*(Aliases!$A$5:$A$80&lt;&gt;""),0),0)),"UNMATCHED"))</f>
        <v/>
      </c>
      <c r="M707" s="16"/>
      <c r="N707" s="16"/>
    </row>
    <row r="708" spans="1:14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6"/>
      <c r="L708" s="15" t="str">
        <f>IF(E708="","",IFERROR(INDEX(Aliases!$B$5:$B$80,MATCH(1,INDEX(ISNUMBER(SEARCH(Aliases!$A$5:$A$80,E708))*(Aliases!$A$5:$A$80&lt;&gt;""),0),0)),"UNMATCHED"))</f>
        <v/>
      </c>
      <c r="M708" s="16"/>
      <c r="N708" s="16"/>
    </row>
    <row r="709" spans="1:14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6"/>
      <c r="L709" s="15" t="str">
        <f>IF(E709="","",IFERROR(INDEX(Aliases!$B$5:$B$80,MATCH(1,INDEX(ISNUMBER(SEARCH(Aliases!$A$5:$A$80,E709))*(Aliases!$A$5:$A$80&lt;&gt;""),0),0)),"UNMATCHED"))</f>
        <v/>
      </c>
      <c r="M709" s="16"/>
      <c r="N709" s="16"/>
    </row>
    <row r="710" spans="1:14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6"/>
      <c r="L710" s="15" t="str">
        <f>IF(E710="","",IFERROR(INDEX(Aliases!$B$5:$B$80,MATCH(1,INDEX(ISNUMBER(SEARCH(Aliases!$A$5:$A$80,E710))*(Aliases!$A$5:$A$80&lt;&gt;""),0),0)),"UNMATCHED"))</f>
        <v/>
      </c>
      <c r="M710" s="16"/>
      <c r="N710" s="16"/>
    </row>
    <row r="711" spans="1:14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6"/>
      <c r="L711" s="15" t="str">
        <f>IF(E711="","",IFERROR(INDEX(Aliases!$B$5:$B$80,MATCH(1,INDEX(ISNUMBER(SEARCH(Aliases!$A$5:$A$80,E711))*(Aliases!$A$5:$A$80&lt;&gt;""),0),0)),"UNMATCHED"))</f>
        <v/>
      </c>
      <c r="M711" s="16"/>
      <c r="N711" s="16"/>
    </row>
    <row r="712" spans="1:14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6"/>
      <c r="L712" s="15" t="str">
        <f>IF(E712="","",IFERROR(INDEX(Aliases!$B$5:$B$80,MATCH(1,INDEX(ISNUMBER(SEARCH(Aliases!$A$5:$A$80,E712))*(Aliases!$A$5:$A$80&lt;&gt;""),0),0)),"UNMATCHED"))</f>
        <v/>
      </c>
      <c r="M712" s="16"/>
      <c r="N712" s="16"/>
    </row>
    <row r="713" spans="1:14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6"/>
      <c r="L713" s="15" t="str">
        <f>IF(E713="","",IFERROR(INDEX(Aliases!$B$5:$B$80,MATCH(1,INDEX(ISNUMBER(SEARCH(Aliases!$A$5:$A$80,E713))*(Aliases!$A$5:$A$80&lt;&gt;""),0),0)),"UNMATCHED"))</f>
        <v/>
      </c>
      <c r="M713" s="16"/>
      <c r="N713" s="16"/>
    </row>
    <row r="714" spans="1:14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6"/>
      <c r="L714" s="15" t="str">
        <f>IF(E714="","",IFERROR(INDEX(Aliases!$B$5:$B$80,MATCH(1,INDEX(ISNUMBER(SEARCH(Aliases!$A$5:$A$80,E714))*(Aliases!$A$5:$A$80&lt;&gt;""),0),0)),"UNMATCHED"))</f>
        <v/>
      </c>
      <c r="M714" s="16"/>
      <c r="N714" s="16"/>
    </row>
    <row r="715" spans="1:14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6"/>
      <c r="L715" s="15" t="str">
        <f>IF(E715="","",IFERROR(INDEX(Aliases!$B$5:$B$80,MATCH(1,INDEX(ISNUMBER(SEARCH(Aliases!$A$5:$A$80,E715))*(Aliases!$A$5:$A$80&lt;&gt;""),0),0)),"UNMATCHED"))</f>
        <v/>
      </c>
      <c r="M715" s="16"/>
      <c r="N715" s="16"/>
    </row>
    <row r="716" spans="1:14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6"/>
      <c r="L716" s="15" t="str">
        <f>IF(E716="","",IFERROR(INDEX(Aliases!$B$5:$B$80,MATCH(1,INDEX(ISNUMBER(SEARCH(Aliases!$A$5:$A$80,E716))*(Aliases!$A$5:$A$80&lt;&gt;""),0),0)),"UNMATCHED"))</f>
        <v/>
      </c>
      <c r="M716" s="16"/>
      <c r="N716" s="16"/>
    </row>
    <row r="717" spans="1:14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6"/>
      <c r="L717" s="15" t="str">
        <f>IF(E717="","",IFERROR(INDEX(Aliases!$B$5:$B$80,MATCH(1,INDEX(ISNUMBER(SEARCH(Aliases!$A$5:$A$80,E717))*(Aliases!$A$5:$A$80&lt;&gt;""),0),0)),"UNMATCHED"))</f>
        <v/>
      </c>
      <c r="M717" s="16"/>
      <c r="N717" s="16"/>
    </row>
    <row r="718" spans="1:14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6"/>
      <c r="L718" s="15" t="str">
        <f>IF(E718="","",IFERROR(INDEX(Aliases!$B$5:$B$80,MATCH(1,INDEX(ISNUMBER(SEARCH(Aliases!$A$5:$A$80,E718))*(Aliases!$A$5:$A$80&lt;&gt;""),0),0)),"UNMATCHED"))</f>
        <v/>
      </c>
      <c r="M718" s="16"/>
      <c r="N718" s="16"/>
    </row>
    <row r="719" spans="1:14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6"/>
      <c r="L719" s="15" t="str">
        <f>IF(E719="","",IFERROR(INDEX(Aliases!$B$5:$B$80,MATCH(1,INDEX(ISNUMBER(SEARCH(Aliases!$A$5:$A$80,E719))*(Aliases!$A$5:$A$80&lt;&gt;""),0),0)),"UNMATCHED"))</f>
        <v/>
      </c>
      <c r="M719" s="16"/>
      <c r="N719" s="16"/>
    </row>
    <row r="720" spans="1:14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6"/>
      <c r="L720" s="15" t="str">
        <f>IF(E720="","",IFERROR(INDEX(Aliases!$B$5:$B$80,MATCH(1,INDEX(ISNUMBER(SEARCH(Aliases!$A$5:$A$80,E720))*(Aliases!$A$5:$A$80&lt;&gt;""),0),0)),"UNMATCHED"))</f>
        <v/>
      </c>
      <c r="M720" s="16"/>
      <c r="N720" s="16"/>
    </row>
    <row r="721" spans="1:14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6"/>
      <c r="L721" s="15" t="str">
        <f>IF(E721="","",IFERROR(INDEX(Aliases!$B$5:$B$80,MATCH(1,INDEX(ISNUMBER(SEARCH(Aliases!$A$5:$A$80,E721))*(Aliases!$A$5:$A$80&lt;&gt;""),0),0)),"UNMATCHED"))</f>
        <v/>
      </c>
      <c r="M721" s="16"/>
      <c r="N721" s="16"/>
    </row>
    <row r="722" spans="1:14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6"/>
      <c r="L722" s="15" t="str">
        <f>IF(E722="","",IFERROR(INDEX(Aliases!$B$5:$B$80,MATCH(1,INDEX(ISNUMBER(SEARCH(Aliases!$A$5:$A$80,E722))*(Aliases!$A$5:$A$80&lt;&gt;""),0),0)),"UNMATCHED"))</f>
        <v/>
      </c>
      <c r="M722" s="16"/>
      <c r="N722" s="16"/>
    </row>
    <row r="723" spans="1:14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6"/>
      <c r="L723" s="15" t="str">
        <f>IF(E723="","",IFERROR(INDEX(Aliases!$B$5:$B$80,MATCH(1,INDEX(ISNUMBER(SEARCH(Aliases!$A$5:$A$80,E723))*(Aliases!$A$5:$A$80&lt;&gt;""),0),0)),"UNMATCHED"))</f>
        <v/>
      </c>
      <c r="M723" s="16"/>
      <c r="N723" s="16"/>
    </row>
    <row r="724" spans="1:14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6"/>
      <c r="L724" s="15" t="str">
        <f>IF(E724="","",IFERROR(INDEX(Aliases!$B$5:$B$80,MATCH(1,INDEX(ISNUMBER(SEARCH(Aliases!$A$5:$A$80,E724))*(Aliases!$A$5:$A$80&lt;&gt;""),0),0)),"UNMATCHED"))</f>
        <v/>
      </c>
      <c r="M724" s="16"/>
      <c r="N724" s="16"/>
    </row>
    <row r="725" spans="1:14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6"/>
      <c r="L725" s="15" t="str">
        <f>IF(E725="","",IFERROR(INDEX(Aliases!$B$5:$B$80,MATCH(1,INDEX(ISNUMBER(SEARCH(Aliases!$A$5:$A$80,E725))*(Aliases!$A$5:$A$80&lt;&gt;""),0),0)),"UNMATCHED"))</f>
        <v/>
      </c>
      <c r="M725" s="16"/>
      <c r="N725" s="16"/>
    </row>
    <row r="726" spans="1:14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6"/>
      <c r="L726" s="15" t="str">
        <f>IF(E726="","",IFERROR(INDEX(Aliases!$B$5:$B$80,MATCH(1,INDEX(ISNUMBER(SEARCH(Aliases!$A$5:$A$80,E726))*(Aliases!$A$5:$A$80&lt;&gt;""),0),0)),"UNMATCHED"))</f>
        <v/>
      </c>
      <c r="M726" s="16"/>
      <c r="N726" s="16"/>
    </row>
    <row r="727" spans="1:14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6"/>
      <c r="L727" s="15" t="str">
        <f>IF(E727="","",IFERROR(INDEX(Aliases!$B$5:$B$80,MATCH(1,INDEX(ISNUMBER(SEARCH(Aliases!$A$5:$A$80,E727))*(Aliases!$A$5:$A$80&lt;&gt;""),0),0)),"UNMATCHED"))</f>
        <v/>
      </c>
      <c r="M727" s="16"/>
      <c r="N727" s="16"/>
    </row>
    <row r="728" spans="1:14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6"/>
      <c r="L728" s="15" t="str">
        <f>IF(E728="","",IFERROR(INDEX(Aliases!$B$5:$B$80,MATCH(1,INDEX(ISNUMBER(SEARCH(Aliases!$A$5:$A$80,E728))*(Aliases!$A$5:$A$80&lt;&gt;""),0),0)),"UNMATCHED"))</f>
        <v/>
      </c>
      <c r="M728" s="16"/>
      <c r="N728" s="16"/>
    </row>
    <row r="729" spans="1:14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6"/>
      <c r="L729" s="15" t="str">
        <f>IF(E729="","",IFERROR(INDEX(Aliases!$B$5:$B$80,MATCH(1,INDEX(ISNUMBER(SEARCH(Aliases!$A$5:$A$80,E729))*(Aliases!$A$5:$A$80&lt;&gt;""),0),0)),"UNMATCHED"))</f>
        <v/>
      </c>
      <c r="M729" s="16"/>
      <c r="N729" s="16"/>
    </row>
    <row r="730" spans="1:14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6"/>
      <c r="L730" s="15" t="str">
        <f>IF(E730="","",IFERROR(INDEX(Aliases!$B$5:$B$80,MATCH(1,INDEX(ISNUMBER(SEARCH(Aliases!$A$5:$A$80,E730))*(Aliases!$A$5:$A$80&lt;&gt;""),0),0)),"UNMATCHED"))</f>
        <v/>
      </c>
      <c r="M730" s="16"/>
      <c r="N730" s="16"/>
    </row>
    <row r="731" spans="1:14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6"/>
      <c r="L731" s="15" t="str">
        <f>IF(E731="","",IFERROR(INDEX(Aliases!$B$5:$B$80,MATCH(1,INDEX(ISNUMBER(SEARCH(Aliases!$A$5:$A$80,E731))*(Aliases!$A$5:$A$80&lt;&gt;""),0),0)),"UNMATCHED"))</f>
        <v/>
      </c>
      <c r="M731" s="16"/>
      <c r="N731" s="16"/>
    </row>
    <row r="732" spans="1:14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6"/>
      <c r="L732" s="15" t="str">
        <f>IF(E732="","",IFERROR(INDEX(Aliases!$B$5:$B$80,MATCH(1,INDEX(ISNUMBER(SEARCH(Aliases!$A$5:$A$80,E732))*(Aliases!$A$5:$A$80&lt;&gt;""),0),0)),"UNMATCHED"))</f>
        <v/>
      </c>
      <c r="M732" s="16"/>
      <c r="N732" s="16"/>
    </row>
    <row r="733" spans="1:14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6"/>
      <c r="L733" s="15" t="str">
        <f>IF(E733="","",IFERROR(INDEX(Aliases!$B$5:$B$80,MATCH(1,INDEX(ISNUMBER(SEARCH(Aliases!$A$5:$A$80,E733))*(Aliases!$A$5:$A$80&lt;&gt;""),0),0)),"UNMATCHED"))</f>
        <v/>
      </c>
      <c r="M733" s="16"/>
      <c r="N733" s="16"/>
    </row>
    <row r="734" spans="1:14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6"/>
      <c r="L734" s="15" t="str">
        <f>IF(E734="","",IFERROR(INDEX(Aliases!$B$5:$B$80,MATCH(1,INDEX(ISNUMBER(SEARCH(Aliases!$A$5:$A$80,E734))*(Aliases!$A$5:$A$80&lt;&gt;""),0),0)),"UNMATCHED"))</f>
        <v/>
      </c>
      <c r="M734" s="16"/>
      <c r="N734" s="16"/>
    </row>
    <row r="735" spans="1:14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6"/>
      <c r="L735" s="15" t="str">
        <f>IF(E735="","",IFERROR(INDEX(Aliases!$B$5:$B$80,MATCH(1,INDEX(ISNUMBER(SEARCH(Aliases!$A$5:$A$80,E735))*(Aliases!$A$5:$A$80&lt;&gt;""),0),0)),"UNMATCHED"))</f>
        <v/>
      </c>
      <c r="M735" s="16"/>
      <c r="N735" s="16"/>
    </row>
    <row r="736" spans="1:14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6"/>
      <c r="L736" s="15" t="str">
        <f>IF(E736="","",IFERROR(INDEX(Aliases!$B$5:$B$80,MATCH(1,INDEX(ISNUMBER(SEARCH(Aliases!$A$5:$A$80,E736))*(Aliases!$A$5:$A$80&lt;&gt;""),0),0)),"UNMATCHED"))</f>
        <v/>
      </c>
      <c r="M736" s="16"/>
      <c r="N736" s="16"/>
    </row>
    <row r="737" spans="1:14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6"/>
      <c r="L737" s="15" t="str">
        <f>IF(E737="","",IFERROR(INDEX(Aliases!$B$5:$B$80,MATCH(1,INDEX(ISNUMBER(SEARCH(Aliases!$A$5:$A$80,E737))*(Aliases!$A$5:$A$80&lt;&gt;""),0),0)),"UNMATCHED"))</f>
        <v/>
      </c>
      <c r="M737" s="16"/>
      <c r="N737" s="16"/>
    </row>
    <row r="738" spans="1:14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6"/>
      <c r="L738" s="15" t="str">
        <f>IF(E738="","",IFERROR(INDEX(Aliases!$B$5:$B$80,MATCH(1,INDEX(ISNUMBER(SEARCH(Aliases!$A$5:$A$80,E738))*(Aliases!$A$5:$A$80&lt;&gt;""),0),0)),"UNMATCHED"))</f>
        <v/>
      </c>
      <c r="M738" s="16"/>
      <c r="N738" s="16"/>
    </row>
    <row r="739" spans="1:14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6"/>
      <c r="L739" s="15" t="str">
        <f>IF(E739="","",IFERROR(INDEX(Aliases!$B$5:$B$80,MATCH(1,INDEX(ISNUMBER(SEARCH(Aliases!$A$5:$A$80,E739))*(Aliases!$A$5:$A$80&lt;&gt;""),0),0)),"UNMATCHED"))</f>
        <v/>
      </c>
      <c r="M739" s="16"/>
      <c r="N739" s="16"/>
    </row>
    <row r="740" spans="1:14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6"/>
      <c r="L740" s="15" t="str">
        <f>IF(E740="","",IFERROR(INDEX(Aliases!$B$5:$B$80,MATCH(1,INDEX(ISNUMBER(SEARCH(Aliases!$A$5:$A$80,E740))*(Aliases!$A$5:$A$80&lt;&gt;""),0),0)),"UNMATCHED"))</f>
        <v/>
      </c>
      <c r="M740" s="16"/>
      <c r="N740" s="16"/>
    </row>
    <row r="741" spans="1:14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6"/>
      <c r="L741" s="15" t="str">
        <f>IF(E741="","",IFERROR(INDEX(Aliases!$B$5:$B$80,MATCH(1,INDEX(ISNUMBER(SEARCH(Aliases!$A$5:$A$80,E741))*(Aliases!$A$5:$A$80&lt;&gt;""),0),0)),"UNMATCHED"))</f>
        <v/>
      </c>
      <c r="M741" s="16"/>
      <c r="N741" s="16"/>
    </row>
    <row r="742" spans="1:14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6"/>
      <c r="L742" s="15" t="str">
        <f>IF(E742="","",IFERROR(INDEX(Aliases!$B$5:$B$80,MATCH(1,INDEX(ISNUMBER(SEARCH(Aliases!$A$5:$A$80,E742))*(Aliases!$A$5:$A$80&lt;&gt;""),0),0)),"UNMATCHED"))</f>
        <v/>
      </c>
      <c r="M742" s="16"/>
      <c r="N742" s="16"/>
    </row>
    <row r="743" spans="1:14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6"/>
      <c r="L743" s="15" t="str">
        <f>IF(E743="","",IFERROR(INDEX(Aliases!$B$5:$B$80,MATCH(1,INDEX(ISNUMBER(SEARCH(Aliases!$A$5:$A$80,E743))*(Aliases!$A$5:$A$80&lt;&gt;""),0),0)),"UNMATCHED"))</f>
        <v/>
      </c>
      <c r="M743" s="16"/>
      <c r="N743" s="16"/>
    </row>
    <row r="744" spans="1:14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6"/>
      <c r="L744" s="15" t="str">
        <f>IF(E744="","",IFERROR(INDEX(Aliases!$B$5:$B$80,MATCH(1,INDEX(ISNUMBER(SEARCH(Aliases!$A$5:$A$80,E744))*(Aliases!$A$5:$A$80&lt;&gt;""),0),0)),"UNMATCHED"))</f>
        <v/>
      </c>
      <c r="M744" s="16"/>
      <c r="N744" s="16"/>
    </row>
    <row r="745" spans="1:14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6"/>
      <c r="L745" s="15" t="str">
        <f>IF(E745="","",IFERROR(INDEX(Aliases!$B$5:$B$80,MATCH(1,INDEX(ISNUMBER(SEARCH(Aliases!$A$5:$A$80,E745))*(Aliases!$A$5:$A$80&lt;&gt;""),0),0)),"UNMATCHED"))</f>
        <v/>
      </c>
      <c r="M745" s="16"/>
      <c r="N745" s="16"/>
    </row>
    <row r="746" spans="1:14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6"/>
      <c r="L746" s="15" t="str">
        <f>IF(E746="","",IFERROR(INDEX(Aliases!$B$5:$B$80,MATCH(1,INDEX(ISNUMBER(SEARCH(Aliases!$A$5:$A$80,E746))*(Aliases!$A$5:$A$80&lt;&gt;""),0),0)),"UNMATCHED"))</f>
        <v/>
      </c>
      <c r="M746" s="16"/>
      <c r="N746" s="16"/>
    </row>
    <row r="747" spans="1:14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6"/>
      <c r="L747" s="15" t="str">
        <f>IF(E747="","",IFERROR(INDEX(Aliases!$B$5:$B$80,MATCH(1,INDEX(ISNUMBER(SEARCH(Aliases!$A$5:$A$80,E747))*(Aliases!$A$5:$A$80&lt;&gt;""),0),0)),"UNMATCHED"))</f>
        <v/>
      </c>
      <c r="M747" s="16"/>
      <c r="N747" s="16"/>
    </row>
    <row r="748" spans="1:14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6"/>
      <c r="L748" s="15" t="str">
        <f>IF(E748="","",IFERROR(INDEX(Aliases!$B$5:$B$80,MATCH(1,INDEX(ISNUMBER(SEARCH(Aliases!$A$5:$A$80,E748))*(Aliases!$A$5:$A$80&lt;&gt;""),0),0)),"UNMATCHED"))</f>
        <v/>
      </c>
      <c r="M748" s="16"/>
      <c r="N748" s="16"/>
    </row>
    <row r="749" spans="1:14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6"/>
      <c r="L749" s="15" t="str">
        <f>IF(E749="","",IFERROR(INDEX(Aliases!$B$5:$B$80,MATCH(1,INDEX(ISNUMBER(SEARCH(Aliases!$A$5:$A$80,E749))*(Aliases!$A$5:$A$80&lt;&gt;""),0),0)),"UNMATCHED"))</f>
        <v/>
      </c>
      <c r="M749" s="16"/>
      <c r="N749" s="16"/>
    </row>
    <row r="750" spans="1:14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6"/>
      <c r="L750" s="15" t="str">
        <f>IF(E750="","",IFERROR(INDEX(Aliases!$B$5:$B$80,MATCH(1,INDEX(ISNUMBER(SEARCH(Aliases!$A$5:$A$80,E750))*(Aliases!$A$5:$A$80&lt;&gt;""),0),0)),"UNMATCHED"))</f>
        <v/>
      </c>
      <c r="M750" s="16"/>
      <c r="N750" s="16"/>
    </row>
    <row r="751" spans="1:14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6"/>
      <c r="L751" s="15" t="str">
        <f>IF(E751="","",IFERROR(INDEX(Aliases!$B$5:$B$80,MATCH(1,INDEX(ISNUMBER(SEARCH(Aliases!$A$5:$A$80,E751))*(Aliases!$A$5:$A$80&lt;&gt;""),0),0)),"UNMATCHED"))</f>
        <v/>
      </c>
      <c r="M751" s="16"/>
      <c r="N751" s="16"/>
    </row>
    <row r="752" spans="1:14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6"/>
      <c r="L752" s="15" t="str">
        <f>IF(E752="","",IFERROR(INDEX(Aliases!$B$5:$B$80,MATCH(1,INDEX(ISNUMBER(SEARCH(Aliases!$A$5:$A$80,E752))*(Aliases!$A$5:$A$80&lt;&gt;""),0),0)),"UNMATCHED"))</f>
        <v/>
      </c>
      <c r="M752" s="16"/>
      <c r="N752" s="16"/>
    </row>
    <row r="753" spans="1:14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6"/>
      <c r="L753" s="15" t="str">
        <f>IF(E753="","",IFERROR(INDEX(Aliases!$B$5:$B$80,MATCH(1,INDEX(ISNUMBER(SEARCH(Aliases!$A$5:$A$80,E753))*(Aliases!$A$5:$A$80&lt;&gt;""),0),0)),"UNMATCHED"))</f>
        <v/>
      </c>
      <c r="M753" s="16"/>
      <c r="N753" s="16"/>
    </row>
    <row r="754" spans="1:14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6"/>
      <c r="L754" s="15" t="str">
        <f>IF(E754="","",IFERROR(INDEX(Aliases!$B$5:$B$80,MATCH(1,INDEX(ISNUMBER(SEARCH(Aliases!$A$5:$A$80,E754))*(Aliases!$A$5:$A$80&lt;&gt;""),0),0)),"UNMATCHED"))</f>
        <v/>
      </c>
      <c r="M754" s="16"/>
      <c r="N754" s="16"/>
    </row>
    <row r="755" spans="1:14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6"/>
      <c r="L755" s="15" t="str">
        <f>IF(E755="","",IFERROR(INDEX(Aliases!$B$5:$B$80,MATCH(1,INDEX(ISNUMBER(SEARCH(Aliases!$A$5:$A$80,E755))*(Aliases!$A$5:$A$80&lt;&gt;""),0),0)),"UNMATCHED"))</f>
        <v/>
      </c>
      <c r="M755" s="16"/>
      <c r="N755" s="16"/>
    </row>
    <row r="756" spans="1:14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6"/>
      <c r="L756" s="15" t="str">
        <f>IF(E756="","",IFERROR(INDEX(Aliases!$B$5:$B$80,MATCH(1,INDEX(ISNUMBER(SEARCH(Aliases!$A$5:$A$80,E756))*(Aliases!$A$5:$A$80&lt;&gt;""),0),0)),"UNMATCHED"))</f>
        <v/>
      </c>
      <c r="M756" s="16"/>
      <c r="N756" s="16"/>
    </row>
    <row r="757" spans="1:14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6"/>
      <c r="L757" s="15" t="str">
        <f>IF(E757="","",IFERROR(INDEX(Aliases!$B$5:$B$80,MATCH(1,INDEX(ISNUMBER(SEARCH(Aliases!$A$5:$A$80,E757))*(Aliases!$A$5:$A$80&lt;&gt;""),0),0)),"UNMATCHED"))</f>
        <v/>
      </c>
      <c r="M757" s="16"/>
      <c r="N757" s="16"/>
    </row>
    <row r="758" spans="1:14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6"/>
      <c r="L758" s="15" t="str">
        <f>IF(E758="","",IFERROR(INDEX(Aliases!$B$5:$B$80,MATCH(1,INDEX(ISNUMBER(SEARCH(Aliases!$A$5:$A$80,E758))*(Aliases!$A$5:$A$80&lt;&gt;""),0),0)),"UNMATCHED"))</f>
        <v/>
      </c>
      <c r="M758" s="16"/>
      <c r="N758" s="16"/>
    </row>
    <row r="759" spans="1:14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6"/>
      <c r="L759" s="15" t="str">
        <f>IF(E759="","",IFERROR(INDEX(Aliases!$B$5:$B$80,MATCH(1,INDEX(ISNUMBER(SEARCH(Aliases!$A$5:$A$80,E759))*(Aliases!$A$5:$A$80&lt;&gt;""),0),0)),"UNMATCHED"))</f>
        <v/>
      </c>
      <c r="M759" s="16"/>
      <c r="N759" s="16"/>
    </row>
    <row r="760" spans="1:14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6"/>
      <c r="L760" s="15" t="str">
        <f>IF(E760="","",IFERROR(INDEX(Aliases!$B$5:$B$80,MATCH(1,INDEX(ISNUMBER(SEARCH(Aliases!$A$5:$A$80,E760))*(Aliases!$A$5:$A$80&lt;&gt;""),0),0)),"UNMATCHED"))</f>
        <v/>
      </c>
      <c r="M760" s="16"/>
      <c r="N760" s="16"/>
    </row>
    <row r="761" spans="1:14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6"/>
      <c r="L761" s="15" t="str">
        <f>IF(E761="","",IFERROR(INDEX(Aliases!$B$5:$B$80,MATCH(1,INDEX(ISNUMBER(SEARCH(Aliases!$A$5:$A$80,E761))*(Aliases!$A$5:$A$80&lt;&gt;""),0),0)),"UNMATCHED"))</f>
        <v/>
      </c>
      <c r="M761" s="16"/>
      <c r="N761" s="16"/>
    </row>
    <row r="762" spans="1:14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6"/>
      <c r="L762" s="15" t="str">
        <f>IF(E762="","",IFERROR(INDEX(Aliases!$B$5:$B$80,MATCH(1,INDEX(ISNUMBER(SEARCH(Aliases!$A$5:$A$80,E762))*(Aliases!$A$5:$A$80&lt;&gt;""),0),0)),"UNMATCHED"))</f>
        <v/>
      </c>
      <c r="M762" s="16"/>
      <c r="N762" s="16"/>
    </row>
    <row r="763" spans="1:14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6"/>
      <c r="L763" s="15" t="str">
        <f>IF(E763="","",IFERROR(INDEX(Aliases!$B$5:$B$80,MATCH(1,INDEX(ISNUMBER(SEARCH(Aliases!$A$5:$A$80,E763))*(Aliases!$A$5:$A$80&lt;&gt;""),0),0)),"UNMATCHED"))</f>
        <v/>
      </c>
      <c r="M763" s="16"/>
      <c r="N763" s="16"/>
    </row>
    <row r="764" spans="1:14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6"/>
      <c r="L764" s="15" t="str">
        <f>IF(E764="","",IFERROR(INDEX(Aliases!$B$5:$B$80,MATCH(1,INDEX(ISNUMBER(SEARCH(Aliases!$A$5:$A$80,E764))*(Aliases!$A$5:$A$80&lt;&gt;""),0),0)),"UNMATCHED"))</f>
        <v/>
      </c>
      <c r="M764" s="16"/>
      <c r="N764" s="16"/>
    </row>
    <row r="765" spans="1:14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6"/>
      <c r="L765" s="15" t="str">
        <f>IF(E765="","",IFERROR(INDEX(Aliases!$B$5:$B$80,MATCH(1,INDEX(ISNUMBER(SEARCH(Aliases!$A$5:$A$80,E765))*(Aliases!$A$5:$A$80&lt;&gt;""),0),0)),"UNMATCHED"))</f>
        <v/>
      </c>
      <c r="M765" s="16"/>
      <c r="N765" s="16"/>
    </row>
    <row r="766" spans="1:14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6"/>
      <c r="L766" s="15" t="str">
        <f>IF(E766="","",IFERROR(INDEX(Aliases!$B$5:$B$80,MATCH(1,INDEX(ISNUMBER(SEARCH(Aliases!$A$5:$A$80,E766))*(Aliases!$A$5:$A$80&lt;&gt;""),0),0)),"UNMATCHED"))</f>
        <v/>
      </c>
      <c r="M766" s="16"/>
      <c r="N766" s="16"/>
    </row>
    <row r="767" spans="1:14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6"/>
      <c r="L767" s="15" t="str">
        <f>IF(E767="","",IFERROR(INDEX(Aliases!$B$5:$B$80,MATCH(1,INDEX(ISNUMBER(SEARCH(Aliases!$A$5:$A$80,E767))*(Aliases!$A$5:$A$80&lt;&gt;""),0),0)),"UNMATCHED"))</f>
        <v/>
      </c>
      <c r="M767" s="16"/>
      <c r="N767" s="16"/>
    </row>
    <row r="768" spans="1:14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6"/>
      <c r="L768" s="15" t="str">
        <f>IF(E768="","",IFERROR(INDEX(Aliases!$B$5:$B$80,MATCH(1,INDEX(ISNUMBER(SEARCH(Aliases!$A$5:$A$80,E768))*(Aliases!$A$5:$A$80&lt;&gt;""),0),0)),"UNMATCHED"))</f>
        <v/>
      </c>
      <c r="M768" s="16"/>
      <c r="N768" s="16"/>
    </row>
    <row r="769" spans="1:14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6"/>
      <c r="L769" s="15" t="str">
        <f>IF(E769="","",IFERROR(INDEX(Aliases!$B$5:$B$80,MATCH(1,INDEX(ISNUMBER(SEARCH(Aliases!$A$5:$A$80,E769))*(Aliases!$A$5:$A$80&lt;&gt;""),0),0)),"UNMATCHED"))</f>
        <v/>
      </c>
      <c r="M769" s="16"/>
      <c r="N769" s="16"/>
    </row>
    <row r="770" spans="1:14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6"/>
      <c r="L770" s="15" t="str">
        <f>IF(E770="","",IFERROR(INDEX(Aliases!$B$5:$B$80,MATCH(1,INDEX(ISNUMBER(SEARCH(Aliases!$A$5:$A$80,E770))*(Aliases!$A$5:$A$80&lt;&gt;""),0),0)),"UNMATCHED"))</f>
        <v/>
      </c>
      <c r="M770" s="16"/>
      <c r="N770" s="16"/>
    </row>
    <row r="771" spans="1:14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6"/>
      <c r="L771" s="15" t="str">
        <f>IF(E771="","",IFERROR(INDEX(Aliases!$B$5:$B$80,MATCH(1,INDEX(ISNUMBER(SEARCH(Aliases!$A$5:$A$80,E771))*(Aliases!$A$5:$A$80&lt;&gt;""),0),0)),"UNMATCHED"))</f>
        <v/>
      </c>
      <c r="M771" s="16"/>
      <c r="N771" s="16"/>
    </row>
    <row r="772" spans="1:14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6"/>
      <c r="L772" s="15" t="str">
        <f>IF(E772="","",IFERROR(INDEX(Aliases!$B$5:$B$80,MATCH(1,INDEX(ISNUMBER(SEARCH(Aliases!$A$5:$A$80,E772))*(Aliases!$A$5:$A$80&lt;&gt;""),0),0)),"UNMATCHED"))</f>
        <v/>
      </c>
      <c r="M772" s="16"/>
      <c r="N772" s="16"/>
    </row>
    <row r="773" spans="1:14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6"/>
      <c r="L773" s="15" t="str">
        <f>IF(E773="","",IFERROR(INDEX(Aliases!$B$5:$B$80,MATCH(1,INDEX(ISNUMBER(SEARCH(Aliases!$A$5:$A$80,E773))*(Aliases!$A$5:$A$80&lt;&gt;""),0),0)),"UNMATCHED"))</f>
        <v/>
      </c>
      <c r="M773" s="16"/>
      <c r="N773" s="16"/>
    </row>
    <row r="774" spans="1:14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6"/>
      <c r="L774" s="15" t="str">
        <f>IF(E774="","",IFERROR(INDEX(Aliases!$B$5:$B$80,MATCH(1,INDEX(ISNUMBER(SEARCH(Aliases!$A$5:$A$80,E774))*(Aliases!$A$5:$A$80&lt;&gt;""),0),0)),"UNMATCHED"))</f>
        <v/>
      </c>
      <c r="M774" s="16"/>
      <c r="N774" s="16"/>
    </row>
    <row r="775" spans="1:14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6"/>
      <c r="L775" s="15" t="str">
        <f>IF(E775="","",IFERROR(INDEX(Aliases!$B$5:$B$80,MATCH(1,INDEX(ISNUMBER(SEARCH(Aliases!$A$5:$A$80,E775))*(Aliases!$A$5:$A$80&lt;&gt;""),0),0)),"UNMATCHED"))</f>
        <v/>
      </c>
      <c r="M775" s="16"/>
      <c r="N775" s="16"/>
    </row>
    <row r="776" spans="1:14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6"/>
      <c r="L776" s="15" t="str">
        <f>IF(E776="","",IFERROR(INDEX(Aliases!$B$5:$B$80,MATCH(1,INDEX(ISNUMBER(SEARCH(Aliases!$A$5:$A$80,E776))*(Aliases!$A$5:$A$80&lt;&gt;""),0),0)),"UNMATCHED"))</f>
        <v/>
      </c>
      <c r="M776" s="16"/>
      <c r="N776" s="16"/>
    </row>
    <row r="777" spans="1:14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6"/>
      <c r="L777" s="15" t="str">
        <f>IF(E777="","",IFERROR(INDEX(Aliases!$B$5:$B$80,MATCH(1,INDEX(ISNUMBER(SEARCH(Aliases!$A$5:$A$80,E777))*(Aliases!$A$5:$A$80&lt;&gt;""),0),0)),"UNMATCHED"))</f>
        <v/>
      </c>
      <c r="M777" s="16"/>
      <c r="N777" s="16"/>
    </row>
    <row r="778" spans="1:14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6"/>
      <c r="L778" s="15" t="str">
        <f>IF(E778="","",IFERROR(INDEX(Aliases!$B$5:$B$80,MATCH(1,INDEX(ISNUMBER(SEARCH(Aliases!$A$5:$A$80,E778))*(Aliases!$A$5:$A$80&lt;&gt;""),0),0)),"UNMATCHED"))</f>
        <v/>
      </c>
      <c r="M778" s="16"/>
      <c r="N778" s="16"/>
    </row>
    <row r="779" spans="1:14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6"/>
      <c r="L779" s="15" t="str">
        <f>IF(E779="","",IFERROR(INDEX(Aliases!$B$5:$B$80,MATCH(1,INDEX(ISNUMBER(SEARCH(Aliases!$A$5:$A$80,E779))*(Aliases!$A$5:$A$80&lt;&gt;""),0),0)),"UNMATCHED"))</f>
        <v/>
      </c>
      <c r="M779" s="16"/>
      <c r="N779" s="16"/>
    </row>
    <row r="780" spans="1:14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6"/>
      <c r="L780" s="15" t="str">
        <f>IF(E780="","",IFERROR(INDEX(Aliases!$B$5:$B$80,MATCH(1,INDEX(ISNUMBER(SEARCH(Aliases!$A$5:$A$80,E780))*(Aliases!$A$5:$A$80&lt;&gt;""),0),0)),"UNMATCHED"))</f>
        <v/>
      </c>
      <c r="M780" s="16"/>
      <c r="N780" s="16"/>
    </row>
    <row r="781" spans="1:14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6"/>
      <c r="L781" s="15" t="str">
        <f>IF(E781="","",IFERROR(INDEX(Aliases!$B$5:$B$80,MATCH(1,INDEX(ISNUMBER(SEARCH(Aliases!$A$5:$A$80,E781))*(Aliases!$A$5:$A$80&lt;&gt;""),0),0)),"UNMATCHED"))</f>
        <v/>
      </c>
      <c r="M781" s="16"/>
      <c r="N781" s="16"/>
    </row>
    <row r="782" spans="1:14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6"/>
      <c r="L782" s="15" t="str">
        <f>IF(E782="","",IFERROR(INDEX(Aliases!$B$5:$B$80,MATCH(1,INDEX(ISNUMBER(SEARCH(Aliases!$A$5:$A$80,E782))*(Aliases!$A$5:$A$80&lt;&gt;""),0),0)),"UNMATCHED"))</f>
        <v/>
      </c>
      <c r="M782" s="16"/>
      <c r="N782" s="16"/>
    </row>
    <row r="783" spans="1:14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6"/>
      <c r="L783" s="15" t="str">
        <f>IF(E783="","",IFERROR(INDEX(Aliases!$B$5:$B$80,MATCH(1,INDEX(ISNUMBER(SEARCH(Aliases!$A$5:$A$80,E783))*(Aliases!$A$5:$A$80&lt;&gt;""),0),0)),"UNMATCHED"))</f>
        <v/>
      </c>
      <c r="M783" s="16"/>
      <c r="N783" s="16"/>
    </row>
    <row r="784" spans="1:14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6"/>
      <c r="L784" s="15" t="str">
        <f>IF(E784="","",IFERROR(INDEX(Aliases!$B$5:$B$80,MATCH(1,INDEX(ISNUMBER(SEARCH(Aliases!$A$5:$A$80,E784))*(Aliases!$A$5:$A$80&lt;&gt;""),0),0)),"UNMATCHED"))</f>
        <v/>
      </c>
      <c r="M784" s="16"/>
      <c r="N784" s="16"/>
    </row>
    <row r="785" spans="1:14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6"/>
      <c r="L785" s="15" t="str">
        <f>IF(E785="","",IFERROR(INDEX(Aliases!$B$5:$B$80,MATCH(1,INDEX(ISNUMBER(SEARCH(Aliases!$A$5:$A$80,E785))*(Aliases!$A$5:$A$80&lt;&gt;""),0),0)),"UNMATCHED"))</f>
        <v/>
      </c>
      <c r="M785" s="16"/>
      <c r="N785" s="16"/>
    </row>
    <row r="786" spans="1:14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6"/>
      <c r="L786" s="15" t="str">
        <f>IF(E786="","",IFERROR(INDEX(Aliases!$B$5:$B$80,MATCH(1,INDEX(ISNUMBER(SEARCH(Aliases!$A$5:$A$80,E786))*(Aliases!$A$5:$A$80&lt;&gt;""),0),0)),"UNMATCHED"))</f>
        <v/>
      </c>
      <c r="M786" s="16"/>
      <c r="N786" s="16"/>
    </row>
    <row r="787" spans="1:14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6"/>
      <c r="L787" s="15" t="str">
        <f>IF(E787="","",IFERROR(INDEX(Aliases!$B$5:$B$80,MATCH(1,INDEX(ISNUMBER(SEARCH(Aliases!$A$5:$A$80,E787))*(Aliases!$A$5:$A$80&lt;&gt;""),0),0)),"UNMATCHED"))</f>
        <v/>
      </c>
      <c r="M787" s="16"/>
      <c r="N787" s="16"/>
    </row>
    <row r="788" spans="1:14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6"/>
      <c r="L788" s="15" t="str">
        <f>IF(E788="","",IFERROR(INDEX(Aliases!$B$5:$B$80,MATCH(1,INDEX(ISNUMBER(SEARCH(Aliases!$A$5:$A$80,E788))*(Aliases!$A$5:$A$80&lt;&gt;""),0),0)),"UNMATCHED"))</f>
        <v/>
      </c>
      <c r="M788" s="16"/>
      <c r="N788" s="16"/>
    </row>
    <row r="789" spans="1:14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6"/>
      <c r="L789" s="15" t="str">
        <f>IF(E789="","",IFERROR(INDEX(Aliases!$B$5:$B$80,MATCH(1,INDEX(ISNUMBER(SEARCH(Aliases!$A$5:$A$80,E789))*(Aliases!$A$5:$A$80&lt;&gt;""),0),0)),"UNMATCHED"))</f>
        <v/>
      </c>
      <c r="M789" s="16"/>
      <c r="N789" s="16"/>
    </row>
    <row r="790" spans="1:14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6"/>
      <c r="L790" s="15" t="str">
        <f>IF(E790="","",IFERROR(INDEX(Aliases!$B$5:$B$80,MATCH(1,INDEX(ISNUMBER(SEARCH(Aliases!$A$5:$A$80,E790))*(Aliases!$A$5:$A$80&lt;&gt;""),0),0)),"UNMATCHED"))</f>
        <v/>
      </c>
      <c r="M790" s="16"/>
      <c r="N790" s="16"/>
    </row>
    <row r="791" spans="1:14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6"/>
      <c r="L791" s="15" t="str">
        <f>IF(E791="","",IFERROR(INDEX(Aliases!$B$5:$B$80,MATCH(1,INDEX(ISNUMBER(SEARCH(Aliases!$A$5:$A$80,E791))*(Aliases!$A$5:$A$80&lt;&gt;""),0),0)),"UNMATCHED"))</f>
        <v/>
      </c>
      <c r="M791" s="16"/>
      <c r="N791" s="16"/>
    </row>
    <row r="792" spans="1:14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6"/>
      <c r="L792" s="15" t="str">
        <f>IF(E792="","",IFERROR(INDEX(Aliases!$B$5:$B$80,MATCH(1,INDEX(ISNUMBER(SEARCH(Aliases!$A$5:$A$80,E792))*(Aliases!$A$5:$A$80&lt;&gt;""),0),0)),"UNMATCHED"))</f>
        <v/>
      </c>
      <c r="M792" s="16"/>
      <c r="N792" s="16"/>
    </row>
    <row r="793" spans="1:14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6"/>
      <c r="L793" s="15" t="str">
        <f>IF(E793="","",IFERROR(INDEX(Aliases!$B$5:$B$80,MATCH(1,INDEX(ISNUMBER(SEARCH(Aliases!$A$5:$A$80,E793))*(Aliases!$A$5:$A$80&lt;&gt;""),0),0)),"UNMATCHED"))</f>
        <v/>
      </c>
      <c r="M793" s="16"/>
      <c r="N793" s="16"/>
    </row>
    <row r="794" spans="1:14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6"/>
      <c r="L794" s="15" t="str">
        <f>IF(E794="","",IFERROR(INDEX(Aliases!$B$5:$B$80,MATCH(1,INDEX(ISNUMBER(SEARCH(Aliases!$A$5:$A$80,E794))*(Aliases!$A$5:$A$80&lt;&gt;""),0),0)),"UNMATCHED"))</f>
        <v/>
      </c>
      <c r="M794" s="16"/>
      <c r="N794" s="16"/>
    </row>
    <row r="795" spans="1:14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6"/>
      <c r="L795" s="15" t="str">
        <f>IF(E795="","",IFERROR(INDEX(Aliases!$B$5:$B$80,MATCH(1,INDEX(ISNUMBER(SEARCH(Aliases!$A$5:$A$80,E795))*(Aliases!$A$5:$A$80&lt;&gt;""),0),0)),"UNMATCHED"))</f>
        <v/>
      </c>
      <c r="M795" s="16"/>
      <c r="N795" s="16"/>
    </row>
    <row r="796" spans="1:14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6"/>
      <c r="L796" s="15" t="str">
        <f>IF(E796="","",IFERROR(INDEX(Aliases!$B$5:$B$80,MATCH(1,INDEX(ISNUMBER(SEARCH(Aliases!$A$5:$A$80,E796))*(Aliases!$A$5:$A$80&lt;&gt;""),0),0)),"UNMATCHED"))</f>
        <v/>
      </c>
      <c r="M796" s="16"/>
      <c r="N796" s="16"/>
    </row>
    <row r="797" spans="1:14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6"/>
      <c r="L797" s="15" t="str">
        <f>IF(E797="","",IFERROR(INDEX(Aliases!$B$5:$B$80,MATCH(1,INDEX(ISNUMBER(SEARCH(Aliases!$A$5:$A$80,E797))*(Aliases!$A$5:$A$80&lt;&gt;""),0),0)),"UNMATCHED"))</f>
        <v/>
      </c>
      <c r="M797" s="16"/>
      <c r="N797" s="16"/>
    </row>
    <row r="798" spans="1:14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6"/>
      <c r="L798" s="15" t="str">
        <f>IF(E798="","",IFERROR(INDEX(Aliases!$B$5:$B$80,MATCH(1,INDEX(ISNUMBER(SEARCH(Aliases!$A$5:$A$80,E798))*(Aliases!$A$5:$A$80&lt;&gt;""),0),0)),"UNMATCHED"))</f>
        <v/>
      </c>
      <c r="M798" s="16"/>
      <c r="N798" s="16"/>
    </row>
    <row r="799" spans="1:14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6"/>
      <c r="L799" s="15" t="str">
        <f>IF(E799="","",IFERROR(INDEX(Aliases!$B$5:$B$80,MATCH(1,INDEX(ISNUMBER(SEARCH(Aliases!$A$5:$A$80,E799))*(Aliases!$A$5:$A$80&lt;&gt;""),0),0)),"UNMATCHED"))</f>
        <v/>
      </c>
      <c r="M799" s="16"/>
      <c r="N799" s="16"/>
    </row>
    <row r="800" spans="1:14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6"/>
      <c r="L800" s="15" t="str">
        <f>IF(E800="","",IFERROR(INDEX(Aliases!$B$5:$B$80,MATCH(1,INDEX(ISNUMBER(SEARCH(Aliases!$A$5:$A$80,E800))*(Aliases!$A$5:$A$80&lt;&gt;""),0),0)),"UNMATCHED"))</f>
        <v/>
      </c>
      <c r="M800" s="16"/>
      <c r="N800" s="16"/>
    </row>
    <row r="801" spans="1:14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6"/>
      <c r="L801" s="15" t="str">
        <f>IF(E801="","",IFERROR(INDEX(Aliases!$B$5:$B$80,MATCH(1,INDEX(ISNUMBER(SEARCH(Aliases!$A$5:$A$80,E801))*(Aliases!$A$5:$A$80&lt;&gt;""),0),0)),"UNMATCHED"))</f>
        <v/>
      </c>
      <c r="M801" s="16"/>
      <c r="N801" s="16"/>
    </row>
    <row r="802" spans="1:14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6"/>
      <c r="L802" s="15" t="str">
        <f>IF(E802="","",IFERROR(INDEX(Aliases!$B$5:$B$80,MATCH(1,INDEX(ISNUMBER(SEARCH(Aliases!$A$5:$A$80,E802))*(Aliases!$A$5:$A$80&lt;&gt;""),0),0)),"UNMATCHED"))</f>
        <v/>
      </c>
      <c r="M802" s="16"/>
      <c r="N802" s="16"/>
    </row>
    <row r="803" spans="1:14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6"/>
      <c r="L803" s="15" t="str">
        <f>IF(E803="","",IFERROR(INDEX(Aliases!$B$5:$B$80,MATCH(1,INDEX(ISNUMBER(SEARCH(Aliases!$A$5:$A$80,E803))*(Aliases!$A$5:$A$80&lt;&gt;""),0),0)),"UNMATCHED"))</f>
        <v/>
      </c>
      <c r="M803" s="16"/>
      <c r="N803" s="16"/>
    </row>
    <row r="804" spans="1:14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6"/>
      <c r="L804" s="15" t="str">
        <f>IF(E804="","",IFERROR(INDEX(Aliases!$B$5:$B$80,MATCH(1,INDEX(ISNUMBER(SEARCH(Aliases!$A$5:$A$80,E804))*(Aliases!$A$5:$A$80&lt;&gt;""),0),0)),"UNMATCHED"))</f>
        <v/>
      </c>
      <c r="M804" s="16"/>
      <c r="N804" s="16"/>
    </row>
    <row r="805" spans="1:14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6"/>
      <c r="L805" s="15" t="str">
        <f>IF(E805="","",IFERROR(INDEX(Aliases!$B$5:$B$80,MATCH(1,INDEX(ISNUMBER(SEARCH(Aliases!$A$5:$A$80,E805))*(Aliases!$A$5:$A$80&lt;&gt;""),0),0)),"UNMATCHED"))</f>
        <v/>
      </c>
      <c r="M805" s="16"/>
      <c r="N805" s="16"/>
    </row>
    <row r="806" spans="1:14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6"/>
      <c r="L806" s="15" t="str">
        <f>IF(E806="","",IFERROR(INDEX(Aliases!$B$5:$B$80,MATCH(1,INDEX(ISNUMBER(SEARCH(Aliases!$A$5:$A$80,E806))*(Aliases!$A$5:$A$80&lt;&gt;""),0),0)),"UNMATCHED"))</f>
        <v/>
      </c>
      <c r="M806" s="16"/>
      <c r="N806" s="16"/>
    </row>
    <row r="807" spans="1:14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6"/>
      <c r="L807" s="15" t="str">
        <f>IF(E807="","",IFERROR(INDEX(Aliases!$B$5:$B$80,MATCH(1,INDEX(ISNUMBER(SEARCH(Aliases!$A$5:$A$80,E807))*(Aliases!$A$5:$A$80&lt;&gt;""),0),0)),"UNMATCHED"))</f>
        <v/>
      </c>
      <c r="M807" s="16"/>
      <c r="N807" s="16"/>
    </row>
    <row r="808" spans="1:14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6"/>
      <c r="L808" s="15" t="str">
        <f>IF(E808="","",IFERROR(INDEX(Aliases!$B$5:$B$80,MATCH(1,INDEX(ISNUMBER(SEARCH(Aliases!$A$5:$A$80,E808))*(Aliases!$A$5:$A$80&lt;&gt;""),0),0)),"UNMATCHED"))</f>
        <v/>
      </c>
      <c r="M808" s="16"/>
      <c r="N808" s="16"/>
    </row>
    <row r="809" spans="1:14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6"/>
      <c r="L809" s="15" t="str">
        <f>IF(E809="","",IFERROR(INDEX(Aliases!$B$5:$B$80,MATCH(1,INDEX(ISNUMBER(SEARCH(Aliases!$A$5:$A$80,E809))*(Aliases!$A$5:$A$80&lt;&gt;""),0),0)),"UNMATCHED"))</f>
        <v/>
      </c>
      <c r="M809" s="16"/>
      <c r="N809" s="16"/>
    </row>
    <row r="810" spans="1:14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6"/>
      <c r="L810" s="15" t="str">
        <f>IF(E810="","",IFERROR(INDEX(Aliases!$B$5:$B$80,MATCH(1,INDEX(ISNUMBER(SEARCH(Aliases!$A$5:$A$80,E810))*(Aliases!$A$5:$A$80&lt;&gt;""),0),0)),"UNMATCHED"))</f>
        <v/>
      </c>
      <c r="M810" s="16"/>
      <c r="N810" s="16"/>
    </row>
    <row r="811" spans="1:14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6"/>
      <c r="L811" s="15" t="str">
        <f>IF(E811="","",IFERROR(INDEX(Aliases!$B$5:$B$80,MATCH(1,INDEX(ISNUMBER(SEARCH(Aliases!$A$5:$A$80,E811))*(Aliases!$A$5:$A$80&lt;&gt;""),0),0)),"UNMATCHED"))</f>
        <v/>
      </c>
      <c r="M811" s="16"/>
      <c r="N811" s="16"/>
    </row>
    <row r="812" spans="1:14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6"/>
      <c r="L812" s="15" t="str">
        <f>IF(E812="","",IFERROR(INDEX(Aliases!$B$5:$B$80,MATCH(1,INDEX(ISNUMBER(SEARCH(Aliases!$A$5:$A$80,E812))*(Aliases!$A$5:$A$80&lt;&gt;""),0),0)),"UNMATCHED"))</f>
        <v/>
      </c>
      <c r="M812" s="16"/>
      <c r="N812" s="16"/>
    </row>
    <row r="813" spans="1:14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6"/>
      <c r="L813" s="15" t="str">
        <f>IF(E813="","",IFERROR(INDEX(Aliases!$B$5:$B$80,MATCH(1,INDEX(ISNUMBER(SEARCH(Aliases!$A$5:$A$80,E813))*(Aliases!$A$5:$A$80&lt;&gt;""),0),0)),"UNMATCHED"))</f>
        <v/>
      </c>
      <c r="M813" s="16"/>
      <c r="N813" s="16"/>
    </row>
    <row r="814" spans="1:14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6"/>
      <c r="L814" s="15" t="str">
        <f>IF(E814="","",IFERROR(INDEX(Aliases!$B$5:$B$80,MATCH(1,INDEX(ISNUMBER(SEARCH(Aliases!$A$5:$A$80,E814))*(Aliases!$A$5:$A$80&lt;&gt;""),0),0)),"UNMATCHED"))</f>
        <v/>
      </c>
      <c r="M814" s="16"/>
      <c r="N814" s="16"/>
    </row>
    <row r="815" spans="1:14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6"/>
      <c r="L815" s="15" t="str">
        <f>IF(E815="","",IFERROR(INDEX(Aliases!$B$5:$B$80,MATCH(1,INDEX(ISNUMBER(SEARCH(Aliases!$A$5:$A$80,E815))*(Aliases!$A$5:$A$80&lt;&gt;""),0),0)),"UNMATCHED"))</f>
        <v/>
      </c>
      <c r="M815" s="16"/>
      <c r="N815" s="16"/>
    </row>
    <row r="816" spans="1:14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6"/>
      <c r="L816" s="15" t="str">
        <f>IF(E816="","",IFERROR(INDEX(Aliases!$B$5:$B$80,MATCH(1,INDEX(ISNUMBER(SEARCH(Aliases!$A$5:$A$80,E816))*(Aliases!$A$5:$A$80&lt;&gt;""),0),0)),"UNMATCHED"))</f>
        <v/>
      </c>
      <c r="M816" s="16"/>
      <c r="N816" s="16"/>
    </row>
    <row r="817" spans="1:14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6"/>
      <c r="L817" s="15" t="str">
        <f>IF(E817="","",IFERROR(INDEX(Aliases!$B$5:$B$80,MATCH(1,INDEX(ISNUMBER(SEARCH(Aliases!$A$5:$A$80,E817))*(Aliases!$A$5:$A$80&lt;&gt;""),0),0)),"UNMATCHED"))</f>
        <v/>
      </c>
      <c r="M817" s="16"/>
      <c r="N817" s="16"/>
    </row>
    <row r="818" spans="1:14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6"/>
      <c r="L818" s="15" t="str">
        <f>IF(E818="","",IFERROR(INDEX(Aliases!$B$5:$B$80,MATCH(1,INDEX(ISNUMBER(SEARCH(Aliases!$A$5:$A$80,E818))*(Aliases!$A$5:$A$80&lt;&gt;""),0),0)),"UNMATCHED"))</f>
        <v/>
      </c>
      <c r="M818" s="16"/>
      <c r="N818" s="16"/>
    </row>
    <row r="819" spans="1:14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6"/>
      <c r="L819" s="15" t="str">
        <f>IF(E819="","",IFERROR(INDEX(Aliases!$B$5:$B$80,MATCH(1,INDEX(ISNUMBER(SEARCH(Aliases!$A$5:$A$80,E819))*(Aliases!$A$5:$A$80&lt;&gt;""),0),0)),"UNMATCHED"))</f>
        <v/>
      </c>
      <c r="M819" s="16"/>
      <c r="N819" s="16"/>
    </row>
    <row r="820" spans="1:14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6"/>
      <c r="L820" s="15" t="str">
        <f>IF(E820="","",IFERROR(INDEX(Aliases!$B$5:$B$80,MATCH(1,INDEX(ISNUMBER(SEARCH(Aliases!$A$5:$A$80,E820))*(Aliases!$A$5:$A$80&lt;&gt;""),0),0)),"UNMATCHED"))</f>
        <v/>
      </c>
      <c r="M820" s="16"/>
      <c r="N820" s="16"/>
    </row>
    <row r="821" spans="1:14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6"/>
      <c r="L821" s="15" t="str">
        <f>IF(E821="","",IFERROR(INDEX(Aliases!$B$5:$B$80,MATCH(1,INDEX(ISNUMBER(SEARCH(Aliases!$A$5:$A$80,E821))*(Aliases!$A$5:$A$80&lt;&gt;""),0),0)),"UNMATCHED"))</f>
        <v/>
      </c>
      <c r="M821" s="16"/>
      <c r="N821" s="16"/>
    </row>
    <row r="822" spans="1:14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6"/>
      <c r="L822" s="15" t="str">
        <f>IF(E822="","",IFERROR(INDEX(Aliases!$B$5:$B$80,MATCH(1,INDEX(ISNUMBER(SEARCH(Aliases!$A$5:$A$80,E822))*(Aliases!$A$5:$A$80&lt;&gt;""),0),0)),"UNMATCHED"))</f>
        <v/>
      </c>
      <c r="M822" s="16"/>
      <c r="N822" s="16"/>
    </row>
    <row r="823" spans="1:14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6"/>
      <c r="L823" s="15" t="str">
        <f>IF(E823="","",IFERROR(INDEX(Aliases!$B$5:$B$80,MATCH(1,INDEX(ISNUMBER(SEARCH(Aliases!$A$5:$A$80,E823))*(Aliases!$A$5:$A$80&lt;&gt;""),0),0)),"UNMATCHED"))</f>
        <v/>
      </c>
      <c r="M823" s="16"/>
      <c r="N823" s="16"/>
    </row>
    <row r="824" spans="1:14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6"/>
      <c r="L824" s="15" t="str">
        <f>IF(E824="","",IFERROR(INDEX(Aliases!$B$5:$B$80,MATCH(1,INDEX(ISNUMBER(SEARCH(Aliases!$A$5:$A$80,E824))*(Aliases!$A$5:$A$80&lt;&gt;""),0),0)),"UNMATCHED"))</f>
        <v/>
      </c>
      <c r="M824" s="16"/>
      <c r="N824" s="16"/>
    </row>
    <row r="825" spans="1:14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6"/>
      <c r="L825" s="15" t="str">
        <f>IF(E825="","",IFERROR(INDEX(Aliases!$B$5:$B$80,MATCH(1,INDEX(ISNUMBER(SEARCH(Aliases!$A$5:$A$80,E825))*(Aliases!$A$5:$A$80&lt;&gt;""),0),0)),"UNMATCHED"))</f>
        <v/>
      </c>
      <c r="M825" s="16"/>
      <c r="N825" s="16"/>
    </row>
    <row r="826" spans="1:14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6"/>
      <c r="L826" s="15" t="str">
        <f>IF(E826="","",IFERROR(INDEX(Aliases!$B$5:$B$80,MATCH(1,INDEX(ISNUMBER(SEARCH(Aliases!$A$5:$A$80,E826))*(Aliases!$A$5:$A$80&lt;&gt;""),0),0)),"UNMATCHED"))</f>
        <v/>
      </c>
      <c r="M826" s="16"/>
      <c r="N826" s="16"/>
    </row>
    <row r="827" spans="1:14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6"/>
      <c r="L827" s="15" t="str">
        <f>IF(E827="","",IFERROR(INDEX(Aliases!$B$5:$B$80,MATCH(1,INDEX(ISNUMBER(SEARCH(Aliases!$A$5:$A$80,E827))*(Aliases!$A$5:$A$80&lt;&gt;""),0),0)),"UNMATCHED"))</f>
        <v/>
      </c>
      <c r="M827" s="16"/>
      <c r="N827" s="16"/>
    </row>
    <row r="828" spans="1:14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6"/>
      <c r="L828" s="15" t="str">
        <f>IF(E828="","",IFERROR(INDEX(Aliases!$B$5:$B$80,MATCH(1,INDEX(ISNUMBER(SEARCH(Aliases!$A$5:$A$80,E828))*(Aliases!$A$5:$A$80&lt;&gt;""),0),0)),"UNMATCHED"))</f>
        <v/>
      </c>
      <c r="M828" s="16"/>
      <c r="N828" s="16"/>
    </row>
    <row r="829" spans="1:14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6"/>
      <c r="L829" s="15" t="str">
        <f>IF(E829="","",IFERROR(INDEX(Aliases!$B$5:$B$80,MATCH(1,INDEX(ISNUMBER(SEARCH(Aliases!$A$5:$A$80,E829))*(Aliases!$A$5:$A$80&lt;&gt;""),0),0)),"UNMATCHED"))</f>
        <v/>
      </c>
      <c r="M829" s="16"/>
      <c r="N829" s="16"/>
    </row>
    <row r="830" spans="1:14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6"/>
      <c r="L830" s="15" t="str">
        <f>IF(E830="","",IFERROR(INDEX(Aliases!$B$5:$B$80,MATCH(1,INDEX(ISNUMBER(SEARCH(Aliases!$A$5:$A$80,E830))*(Aliases!$A$5:$A$80&lt;&gt;""),0),0)),"UNMATCHED"))</f>
        <v/>
      </c>
      <c r="M830" s="16"/>
      <c r="N830" s="16"/>
    </row>
    <row r="831" spans="1:14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6"/>
      <c r="L831" s="15" t="str">
        <f>IF(E831="","",IFERROR(INDEX(Aliases!$B$5:$B$80,MATCH(1,INDEX(ISNUMBER(SEARCH(Aliases!$A$5:$A$80,E831))*(Aliases!$A$5:$A$80&lt;&gt;""),0),0)),"UNMATCHED"))</f>
        <v/>
      </c>
      <c r="M831" s="16"/>
      <c r="N831" s="16"/>
    </row>
    <row r="832" spans="1:14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6"/>
      <c r="L832" s="15" t="str">
        <f>IF(E832="","",IFERROR(INDEX(Aliases!$B$5:$B$80,MATCH(1,INDEX(ISNUMBER(SEARCH(Aliases!$A$5:$A$80,E832))*(Aliases!$A$5:$A$80&lt;&gt;""),0),0)),"UNMATCHED"))</f>
        <v/>
      </c>
      <c r="M832" s="16"/>
      <c r="N832" s="16"/>
    </row>
    <row r="833" spans="1:14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6"/>
      <c r="L833" s="15" t="str">
        <f>IF(E833="","",IFERROR(INDEX(Aliases!$B$5:$B$80,MATCH(1,INDEX(ISNUMBER(SEARCH(Aliases!$A$5:$A$80,E833))*(Aliases!$A$5:$A$80&lt;&gt;""),0),0)),"UNMATCHED"))</f>
        <v/>
      </c>
      <c r="M833" s="16"/>
      <c r="N833" s="16"/>
    </row>
    <row r="834" spans="1:14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6"/>
      <c r="L834" s="15" t="str">
        <f>IF(E834="","",IFERROR(INDEX(Aliases!$B$5:$B$80,MATCH(1,INDEX(ISNUMBER(SEARCH(Aliases!$A$5:$A$80,E834))*(Aliases!$A$5:$A$80&lt;&gt;""),0),0)),"UNMATCHED"))</f>
        <v/>
      </c>
      <c r="M834" s="16"/>
      <c r="N834" s="16"/>
    </row>
    <row r="835" spans="1:14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6"/>
      <c r="L835" s="15" t="str">
        <f>IF(E835="","",IFERROR(INDEX(Aliases!$B$5:$B$80,MATCH(1,INDEX(ISNUMBER(SEARCH(Aliases!$A$5:$A$80,E835))*(Aliases!$A$5:$A$80&lt;&gt;""),0),0)),"UNMATCHED"))</f>
        <v/>
      </c>
      <c r="M835" s="16"/>
      <c r="N835" s="16"/>
    </row>
    <row r="836" spans="1:14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6"/>
      <c r="L836" s="15" t="str">
        <f>IF(E836="","",IFERROR(INDEX(Aliases!$B$5:$B$80,MATCH(1,INDEX(ISNUMBER(SEARCH(Aliases!$A$5:$A$80,E836))*(Aliases!$A$5:$A$80&lt;&gt;""),0),0)),"UNMATCHED"))</f>
        <v/>
      </c>
      <c r="M836" s="16"/>
      <c r="N836" s="16"/>
    </row>
    <row r="837" spans="1:14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6"/>
      <c r="L837" s="15" t="str">
        <f>IF(E837="","",IFERROR(INDEX(Aliases!$B$5:$B$80,MATCH(1,INDEX(ISNUMBER(SEARCH(Aliases!$A$5:$A$80,E837))*(Aliases!$A$5:$A$80&lt;&gt;""),0),0)),"UNMATCHED"))</f>
        <v/>
      </c>
      <c r="M837" s="16"/>
      <c r="N837" s="16"/>
    </row>
    <row r="838" spans="1:14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6"/>
      <c r="L838" s="15" t="str">
        <f>IF(E838="","",IFERROR(INDEX(Aliases!$B$5:$B$80,MATCH(1,INDEX(ISNUMBER(SEARCH(Aliases!$A$5:$A$80,E838))*(Aliases!$A$5:$A$80&lt;&gt;""),0),0)),"UNMATCHED"))</f>
        <v/>
      </c>
      <c r="M838" s="16"/>
      <c r="N838" s="16"/>
    </row>
    <row r="839" spans="1:14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6"/>
      <c r="L839" s="15" t="str">
        <f>IF(E839="","",IFERROR(INDEX(Aliases!$B$5:$B$80,MATCH(1,INDEX(ISNUMBER(SEARCH(Aliases!$A$5:$A$80,E839))*(Aliases!$A$5:$A$80&lt;&gt;""),0),0)),"UNMATCHED"))</f>
        <v/>
      </c>
      <c r="M839" s="16"/>
      <c r="N839" s="16"/>
    </row>
    <row r="840" spans="1:14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6"/>
      <c r="L840" s="15" t="str">
        <f>IF(E840="","",IFERROR(INDEX(Aliases!$B$5:$B$80,MATCH(1,INDEX(ISNUMBER(SEARCH(Aliases!$A$5:$A$80,E840))*(Aliases!$A$5:$A$80&lt;&gt;""),0),0)),"UNMATCHED"))</f>
        <v/>
      </c>
      <c r="M840" s="16"/>
      <c r="N840" s="16"/>
    </row>
    <row r="841" spans="1:14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6"/>
      <c r="L841" s="15" t="str">
        <f>IF(E841="","",IFERROR(INDEX(Aliases!$B$5:$B$80,MATCH(1,INDEX(ISNUMBER(SEARCH(Aliases!$A$5:$A$80,E841))*(Aliases!$A$5:$A$80&lt;&gt;""),0),0)),"UNMATCHED"))</f>
        <v/>
      </c>
      <c r="M841" s="16"/>
      <c r="N841" s="16"/>
    </row>
    <row r="842" spans="1:14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6"/>
      <c r="L842" s="15" t="str">
        <f>IF(E842="","",IFERROR(INDEX(Aliases!$B$5:$B$80,MATCH(1,INDEX(ISNUMBER(SEARCH(Aliases!$A$5:$A$80,E842))*(Aliases!$A$5:$A$80&lt;&gt;""),0),0)),"UNMATCHED"))</f>
        <v/>
      </c>
      <c r="M842" s="16"/>
      <c r="N842" s="16"/>
    </row>
    <row r="843" spans="1:14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6"/>
      <c r="L843" s="15" t="str">
        <f>IF(E843="","",IFERROR(INDEX(Aliases!$B$5:$B$80,MATCH(1,INDEX(ISNUMBER(SEARCH(Aliases!$A$5:$A$80,E843))*(Aliases!$A$5:$A$80&lt;&gt;""),0),0)),"UNMATCHED"))</f>
        <v/>
      </c>
      <c r="M843" s="16"/>
      <c r="N843" s="16"/>
    </row>
    <row r="844" spans="1:14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6"/>
      <c r="L844" s="15" t="str">
        <f>IF(E844="","",IFERROR(INDEX(Aliases!$B$5:$B$80,MATCH(1,INDEX(ISNUMBER(SEARCH(Aliases!$A$5:$A$80,E844))*(Aliases!$A$5:$A$80&lt;&gt;""),0),0)),"UNMATCHED"))</f>
        <v/>
      </c>
      <c r="M844" s="16"/>
      <c r="N844" s="16"/>
    </row>
    <row r="845" spans="1:14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6"/>
      <c r="L845" s="15" t="str">
        <f>IF(E845="","",IFERROR(INDEX(Aliases!$B$5:$B$80,MATCH(1,INDEX(ISNUMBER(SEARCH(Aliases!$A$5:$A$80,E845))*(Aliases!$A$5:$A$80&lt;&gt;""),0),0)),"UNMATCHED"))</f>
        <v/>
      </c>
      <c r="M845" s="16"/>
      <c r="N845" s="16"/>
    </row>
    <row r="846" spans="1:14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6"/>
      <c r="L846" s="15" t="str">
        <f>IF(E846="","",IFERROR(INDEX(Aliases!$B$5:$B$80,MATCH(1,INDEX(ISNUMBER(SEARCH(Aliases!$A$5:$A$80,E846))*(Aliases!$A$5:$A$80&lt;&gt;""),0),0)),"UNMATCHED"))</f>
        <v/>
      </c>
      <c r="M846" s="16"/>
      <c r="N846" s="16"/>
    </row>
    <row r="847" spans="1:14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6"/>
      <c r="L847" s="15" t="str">
        <f>IF(E847="","",IFERROR(INDEX(Aliases!$B$5:$B$80,MATCH(1,INDEX(ISNUMBER(SEARCH(Aliases!$A$5:$A$80,E847))*(Aliases!$A$5:$A$80&lt;&gt;""),0),0)),"UNMATCHED"))</f>
        <v/>
      </c>
      <c r="M847" s="16"/>
      <c r="N847" s="16"/>
    </row>
    <row r="848" spans="1:14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6"/>
      <c r="L848" s="15" t="str">
        <f>IF(E848="","",IFERROR(INDEX(Aliases!$B$5:$B$80,MATCH(1,INDEX(ISNUMBER(SEARCH(Aliases!$A$5:$A$80,E848))*(Aliases!$A$5:$A$80&lt;&gt;""),0),0)),"UNMATCHED"))</f>
        <v/>
      </c>
      <c r="M848" s="16"/>
      <c r="N848" s="16"/>
    </row>
    <row r="849" spans="1:14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6"/>
      <c r="L849" s="15" t="str">
        <f>IF(E849="","",IFERROR(INDEX(Aliases!$B$5:$B$80,MATCH(1,INDEX(ISNUMBER(SEARCH(Aliases!$A$5:$A$80,E849))*(Aliases!$A$5:$A$80&lt;&gt;""),0),0)),"UNMATCHED"))</f>
        <v/>
      </c>
      <c r="M849" s="16"/>
      <c r="N849" s="16"/>
    </row>
    <row r="850" spans="1:14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6"/>
      <c r="L850" s="15" t="str">
        <f>IF(E850="","",IFERROR(INDEX(Aliases!$B$5:$B$80,MATCH(1,INDEX(ISNUMBER(SEARCH(Aliases!$A$5:$A$80,E850))*(Aliases!$A$5:$A$80&lt;&gt;""),0),0)),"UNMATCHED"))</f>
        <v/>
      </c>
      <c r="M850" s="16"/>
      <c r="N850" s="16"/>
    </row>
    <row r="851" spans="1:14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6"/>
      <c r="L851" s="15" t="str">
        <f>IF(E851="","",IFERROR(INDEX(Aliases!$B$5:$B$80,MATCH(1,INDEX(ISNUMBER(SEARCH(Aliases!$A$5:$A$80,E851))*(Aliases!$A$5:$A$80&lt;&gt;""),0),0)),"UNMATCHED"))</f>
        <v/>
      </c>
      <c r="M851" s="16"/>
      <c r="N851" s="16"/>
    </row>
    <row r="852" spans="1:14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6"/>
      <c r="L852" s="15" t="str">
        <f>IF(E852="","",IFERROR(INDEX(Aliases!$B$5:$B$80,MATCH(1,INDEX(ISNUMBER(SEARCH(Aliases!$A$5:$A$80,E852))*(Aliases!$A$5:$A$80&lt;&gt;""),0),0)),"UNMATCHED"))</f>
        <v/>
      </c>
      <c r="M852" s="16"/>
      <c r="N852" s="16"/>
    </row>
    <row r="853" spans="1:14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6"/>
      <c r="L853" s="15" t="str">
        <f>IF(E853="","",IFERROR(INDEX(Aliases!$B$5:$B$80,MATCH(1,INDEX(ISNUMBER(SEARCH(Aliases!$A$5:$A$80,E853))*(Aliases!$A$5:$A$80&lt;&gt;""),0),0)),"UNMATCHED"))</f>
        <v/>
      </c>
      <c r="M853" s="16"/>
      <c r="N853" s="16"/>
    </row>
    <row r="854" spans="1:14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6"/>
      <c r="L854" s="15" t="str">
        <f>IF(E854="","",IFERROR(INDEX(Aliases!$B$5:$B$80,MATCH(1,INDEX(ISNUMBER(SEARCH(Aliases!$A$5:$A$80,E854))*(Aliases!$A$5:$A$80&lt;&gt;""),0),0)),"UNMATCHED"))</f>
        <v/>
      </c>
      <c r="M854" s="16"/>
      <c r="N854" s="16"/>
    </row>
    <row r="855" spans="1:14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6"/>
      <c r="L855" s="15" t="str">
        <f>IF(E855="","",IFERROR(INDEX(Aliases!$B$5:$B$80,MATCH(1,INDEX(ISNUMBER(SEARCH(Aliases!$A$5:$A$80,E855))*(Aliases!$A$5:$A$80&lt;&gt;""),0),0)),"UNMATCHED"))</f>
        <v/>
      </c>
      <c r="M855" s="16"/>
      <c r="N855" s="16"/>
    </row>
    <row r="856" spans="1:14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6"/>
      <c r="L856" s="15" t="str">
        <f>IF(E856="","",IFERROR(INDEX(Aliases!$B$5:$B$80,MATCH(1,INDEX(ISNUMBER(SEARCH(Aliases!$A$5:$A$80,E856))*(Aliases!$A$5:$A$80&lt;&gt;""),0),0)),"UNMATCHED"))</f>
        <v/>
      </c>
      <c r="M856" s="16"/>
      <c r="N856" s="16"/>
    </row>
    <row r="857" spans="1:14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6"/>
      <c r="L857" s="15" t="str">
        <f>IF(E857="","",IFERROR(INDEX(Aliases!$B$5:$B$80,MATCH(1,INDEX(ISNUMBER(SEARCH(Aliases!$A$5:$A$80,E857))*(Aliases!$A$5:$A$80&lt;&gt;""),0),0)),"UNMATCHED"))</f>
        <v/>
      </c>
      <c r="M857" s="16"/>
      <c r="N857" s="16"/>
    </row>
    <row r="858" spans="1:14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6"/>
      <c r="L858" s="15" t="str">
        <f>IF(E858="","",IFERROR(INDEX(Aliases!$B$5:$B$80,MATCH(1,INDEX(ISNUMBER(SEARCH(Aliases!$A$5:$A$80,E858))*(Aliases!$A$5:$A$80&lt;&gt;""),0),0)),"UNMATCHED"))</f>
        <v/>
      </c>
      <c r="M858" s="16"/>
      <c r="N858" s="16"/>
    </row>
    <row r="859" spans="1:14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6"/>
      <c r="L859" s="15" t="str">
        <f>IF(E859="","",IFERROR(INDEX(Aliases!$B$5:$B$80,MATCH(1,INDEX(ISNUMBER(SEARCH(Aliases!$A$5:$A$80,E859))*(Aliases!$A$5:$A$80&lt;&gt;""),0),0)),"UNMATCHED"))</f>
        <v/>
      </c>
      <c r="M859" s="16"/>
      <c r="N859" s="16"/>
    </row>
    <row r="860" spans="1:14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6"/>
      <c r="L860" s="15" t="str">
        <f>IF(E860="","",IFERROR(INDEX(Aliases!$B$5:$B$80,MATCH(1,INDEX(ISNUMBER(SEARCH(Aliases!$A$5:$A$80,E860))*(Aliases!$A$5:$A$80&lt;&gt;""),0),0)),"UNMATCHED"))</f>
        <v/>
      </c>
      <c r="M860" s="16"/>
      <c r="N860" s="16"/>
    </row>
    <row r="861" spans="1:14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6"/>
      <c r="L861" s="15" t="str">
        <f>IF(E861="","",IFERROR(INDEX(Aliases!$B$5:$B$80,MATCH(1,INDEX(ISNUMBER(SEARCH(Aliases!$A$5:$A$80,E861))*(Aliases!$A$5:$A$80&lt;&gt;""),0),0)),"UNMATCHED"))</f>
        <v/>
      </c>
      <c r="M861" s="16"/>
      <c r="N861" s="16"/>
    </row>
    <row r="862" spans="1:14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6"/>
      <c r="L862" s="15" t="str">
        <f>IF(E862="","",IFERROR(INDEX(Aliases!$B$5:$B$80,MATCH(1,INDEX(ISNUMBER(SEARCH(Aliases!$A$5:$A$80,E862))*(Aliases!$A$5:$A$80&lt;&gt;""),0),0)),"UNMATCHED"))</f>
        <v/>
      </c>
      <c r="M862" s="16"/>
      <c r="N862" s="16"/>
    </row>
    <row r="863" spans="1:14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6"/>
      <c r="L863" s="15" t="str">
        <f>IF(E863="","",IFERROR(INDEX(Aliases!$B$5:$B$80,MATCH(1,INDEX(ISNUMBER(SEARCH(Aliases!$A$5:$A$80,E863))*(Aliases!$A$5:$A$80&lt;&gt;""),0),0)),"UNMATCHED"))</f>
        <v/>
      </c>
      <c r="M863" s="16"/>
      <c r="N863" s="16"/>
    </row>
    <row r="864" spans="1:14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6"/>
      <c r="L864" s="15" t="str">
        <f>IF(E864="","",IFERROR(INDEX(Aliases!$B$5:$B$80,MATCH(1,INDEX(ISNUMBER(SEARCH(Aliases!$A$5:$A$80,E864))*(Aliases!$A$5:$A$80&lt;&gt;""),0),0)),"UNMATCHED"))</f>
        <v/>
      </c>
      <c r="M864" s="16"/>
      <c r="N864" s="16"/>
    </row>
    <row r="865" spans="1:14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6"/>
      <c r="L865" s="15" t="str">
        <f>IF(E865="","",IFERROR(INDEX(Aliases!$B$5:$B$80,MATCH(1,INDEX(ISNUMBER(SEARCH(Aliases!$A$5:$A$80,E865))*(Aliases!$A$5:$A$80&lt;&gt;""),0),0)),"UNMATCHED"))</f>
        <v/>
      </c>
      <c r="M865" s="16"/>
      <c r="N865" s="16"/>
    </row>
    <row r="866" spans="1:14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6"/>
      <c r="L866" s="15" t="str">
        <f>IF(E866="","",IFERROR(INDEX(Aliases!$B$5:$B$80,MATCH(1,INDEX(ISNUMBER(SEARCH(Aliases!$A$5:$A$80,E866))*(Aliases!$A$5:$A$80&lt;&gt;""),0),0)),"UNMATCHED"))</f>
        <v/>
      </c>
      <c r="M866" s="16"/>
      <c r="N866" s="16"/>
    </row>
    <row r="867" spans="1:14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6"/>
      <c r="L867" s="15" t="str">
        <f>IF(E867="","",IFERROR(INDEX(Aliases!$B$5:$B$80,MATCH(1,INDEX(ISNUMBER(SEARCH(Aliases!$A$5:$A$80,E867))*(Aliases!$A$5:$A$80&lt;&gt;""),0),0)),"UNMATCHED"))</f>
        <v/>
      </c>
      <c r="M867" s="16"/>
      <c r="N867" s="16"/>
    </row>
    <row r="868" spans="1:14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6"/>
      <c r="L868" s="15" t="str">
        <f>IF(E868="","",IFERROR(INDEX(Aliases!$B$5:$B$80,MATCH(1,INDEX(ISNUMBER(SEARCH(Aliases!$A$5:$A$80,E868))*(Aliases!$A$5:$A$80&lt;&gt;""),0),0)),"UNMATCHED"))</f>
        <v/>
      </c>
      <c r="M868" s="16"/>
      <c r="N868" s="16"/>
    </row>
    <row r="869" spans="1:14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6"/>
      <c r="L869" s="15" t="str">
        <f>IF(E869="","",IFERROR(INDEX(Aliases!$B$5:$B$80,MATCH(1,INDEX(ISNUMBER(SEARCH(Aliases!$A$5:$A$80,E869))*(Aliases!$A$5:$A$80&lt;&gt;""),0),0)),"UNMATCHED"))</f>
        <v/>
      </c>
      <c r="M869" s="16"/>
      <c r="N869" s="16"/>
    </row>
    <row r="870" spans="1:14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6"/>
      <c r="L870" s="15" t="str">
        <f>IF(E870="","",IFERROR(INDEX(Aliases!$B$5:$B$80,MATCH(1,INDEX(ISNUMBER(SEARCH(Aliases!$A$5:$A$80,E870))*(Aliases!$A$5:$A$80&lt;&gt;""),0),0)),"UNMATCHED"))</f>
        <v/>
      </c>
      <c r="M870" s="16"/>
      <c r="N870" s="16"/>
    </row>
    <row r="871" spans="1:14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6"/>
      <c r="L871" s="15" t="str">
        <f>IF(E871="","",IFERROR(INDEX(Aliases!$B$5:$B$80,MATCH(1,INDEX(ISNUMBER(SEARCH(Aliases!$A$5:$A$80,E871))*(Aliases!$A$5:$A$80&lt;&gt;""),0),0)),"UNMATCHED"))</f>
        <v/>
      </c>
      <c r="M871" s="16"/>
      <c r="N871" s="16"/>
    </row>
    <row r="872" spans="1:14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6"/>
      <c r="L872" s="15" t="str">
        <f>IF(E872="","",IFERROR(INDEX(Aliases!$B$5:$B$80,MATCH(1,INDEX(ISNUMBER(SEARCH(Aliases!$A$5:$A$80,E872))*(Aliases!$A$5:$A$80&lt;&gt;""),0),0)),"UNMATCHED"))</f>
        <v/>
      </c>
      <c r="M872" s="16"/>
      <c r="N872" s="16"/>
    </row>
    <row r="873" spans="1:14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6"/>
      <c r="L873" s="15" t="str">
        <f>IF(E873="","",IFERROR(INDEX(Aliases!$B$5:$B$80,MATCH(1,INDEX(ISNUMBER(SEARCH(Aliases!$A$5:$A$80,E873))*(Aliases!$A$5:$A$80&lt;&gt;""),0),0)),"UNMATCHED"))</f>
        <v/>
      </c>
      <c r="M873" s="16"/>
      <c r="N873" s="16"/>
    </row>
    <row r="874" spans="1:14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6"/>
      <c r="L874" s="15" t="str">
        <f>IF(E874="","",IFERROR(INDEX(Aliases!$B$5:$B$80,MATCH(1,INDEX(ISNUMBER(SEARCH(Aliases!$A$5:$A$80,E874))*(Aliases!$A$5:$A$80&lt;&gt;""),0),0)),"UNMATCHED"))</f>
        <v/>
      </c>
      <c r="M874" s="16"/>
      <c r="N874" s="16"/>
    </row>
    <row r="875" spans="1:14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6"/>
      <c r="L875" s="15" t="str">
        <f>IF(E875="","",IFERROR(INDEX(Aliases!$B$5:$B$80,MATCH(1,INDEX(ISNUMBER(SEARCH(Aliases!$A$5:$A$80,E875))*(Aliases!$A$5:$A$80&lt;&gt;""),0),0)),"UNMATCHED"))</f>
        <v/>
      </c>
      <c r="M875" s="16"/>
      <c r="N875" s="16"/>
    </row>
    <row r="876" spans="1:14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6"/>
      <c r="L876" s="15" t="str">
        <f>IF(E876="","",IFERROR(INDEX(Aliases!$B$5:$B$80,MATCH(1,INDEX(ISNUMBER(SEARCH(Aliases!$A$5:$A$80,E876))*(Aliases!$A$5:$A$80&lt;&gt;""),0),0)),"UNMATCHED"))</f>
        <v/>
      </c>
      <c r="M876" s="16"/>
      <c r="N876" s="16"/>
    </row>
    <row r="877" spans="1:14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6"/>
      <c r="L877" s="15" t="str">
        <f>IF(E877="","",IFERROR(INDEX(Aliases!$B$5:$B$80,MATCH(1,INDEX(ISNUMBER(SEARCH(Aliases!$A$5:$A$80,E877))*(Aliases!$A$5:$A$80&lt;&gt;""),0),0)),"UNMATCHED"))</f>
        <v/>
      </c>
      <c r="M877" s="16"/>
      <c r="N877" s="16"/>
    </row>
    <row r="878" spans="1:14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6"/>
      <c r="L878" s="15" t="str">
        <f>IF(E878="","",IFERROR(INDEX(Aliases!$B$5:$B$80,MATCH(1,INDEX(ISNUMBER(SEARCH(Aliases!$A$5:$A$80,E878))*(Aliases!$A$5:$A$80&lt;&gt;""),0),0)),"UNMATCHED"))</f>
        <v/>
      </c>
      <c r="M878" s="16"/>
      <c r="N878" s="16"/>
    </row>
    <row r="879" spans="1:14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6"/>
      <c r="L879" s="15" t="str">
        <f>IF(E879="","",IFERROR(INDEX(Aliases!$B$5:$B$80,MATCH(1,INDEX(ISNUMBER(SEARCH(Aliases!$A$5:$A$80,E879))*(Aliases!$A$5:$A$80&lt;&gt;""),0),0)),"UNMATCHED"))</f>
        <v/>
      </c>
      <c r="M879" s="16"/>
      <c r="N879" s="16"/>
    </row>
    <row r="880" spans="1:14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6"/>
      <c r="L880" s="15" t="str">
        <f>IF(E880="","",IFERROR(INDEX(Aliases!$B$5:$B$80,MATCH(1,INDEX(ISNUMBER(SEARCH(Aliases!$A$5:$A$80,E880))*(Aliases!$A$5:$A$80&lt;&gt;""),0),0)),"UNMATCHED"))</f>
        <v/>
      </c>
      <c r="M880" s="16"/>
      <c r="N880" s="16"/>
    </row>
    <row r="881" spans="1:14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6"/>
      <c r="L881" s="15" t="str">
        <f>IF(E881="","",IFERROR(INDEX(Aliases!$B$5:$B$80,MATCH(1,INDEX(ISNUMBER(SEARCH(Aliases!$A$5:$A$80,E881))*(Aliases!$A$5:$A$80&lt;&gt;""),0),0)),"UNMATCHED"))</f>
        <v/>
      </c>
      <c r="M881" s="16"/>
      <c r="N881" s="16"/>
    </row>
    <row r="882" spans="1:14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6"/>
      <c r="L882" s="15" t="str">
        <f>IF(E882="","",IFERROR(INDEX(Aliases!$B$5:$B$80,MATCH(1,INDEX(ISNUMBER(SEARCH(Aliases!$A$5:$A$80,E882))*(Aliases!$A$5:$A$80&lt;&gt;""),0),0)),"UNMATCHED"))</f>
        <v/>
      </c>
      <c r="M882" s="16"/>
      <c r="N882" s="16"/>
    </row>
    <row r="883" spans="1:14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6"/>
      <c r="L883" s="15" t="str">
        <f>IF(E883="","",IFERROR(INDEX(Aliases!$B$5:$B$80,MATCH(1,INDEX(ISNUMBER(SEARCH(Aliases!$A$5:$A$80,E883))*(Aliases!$A$5:$A$80&lt;&gt;""),0),0)),"UNMATCHED"))</f>
        <v/>
      </c>
      <c r="M883" s="16"/>
      <c r="N883" s="16"/>
    </row>
    <row r="884" spans="1:14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6"/>
      <c r="L884" s="15" t="str">
        <f>IF(E884="","",IFERROR(INDEX(Aliases!$B$5:$B$80,MATCH(1,INDEX(ISNUMBER(SEARCH(Aliases!$A$5:$A$80,E884))*(Aliases!$A$5:$A$80&lt;&gt;""),0),0)),"UNMATCHED"))</f>
        <v/>
      </c>
      <c r="M884" s="16"/>
      <c r="N884" s="16"/>
    </row>
    <row r="885" spans="1:14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6"/>
      <c r="L885" s="15" t="str">
        <f>IF(E885="","",IFERROR(INDEX(Aliases!$B$5:$B$80,MATCH(1,INDEX(ISNUMBER(SEARCH(Aliases!$A$5:$A$80,E885))*(Aliases!$A$5:$A$80&lt;&gt;""),0),0)),"UNMATCHED"))</f>
        <v/>
      </c>
      <c r="M885" s="16"/>
      <c r="N885" s="16"/>
    </row>
    <row r="886" spans="1:14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6"/>
      <c r="L886" s="15" t="str">
        <f>IF(E886="","",IFERROR(INDEX(Aliases!$B$5:$B$80,MATCH(1,INDEX(ISNUMBER(SEARCH(Aliases!$A$5:$A$80,E886))*(Aliases!$A$5:$A$80&lt;&gt;""),0),0)),"UNMATCHED"))</f>
        <v/>
      </c>
      <c r="M886" s="16"/>
      <c r="N886" s="16"/>
    </row>
    <row r="887" spans="1:14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6"/>
      <c r="L887" s="15" t="str">
        <f>IF(E887="","",IFERROR(INDEX(Aliases!$B$5:$B$80,MATCH(1,INDEX(ISNUMBER(SEARCH(Aliases!$A$5:$A$80,E887))*(Aliases!$A$5:$A$80&lt;&gt;""),0),0)),"UNMATCHED"))</f>
        <v/>
      </c>
      <c r="M887" s="16"/>
      <c r="N887" s="16"/>
    </row>
    <row r="888" spans="1:14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6"/>
      <c r="L888" s="15" t="str">
        <f>IF(E888="","",IFERROR(INDEX(Aliases!$B$5:$B$80,MATCH(1,INDEX(ISNUMBER(SEARCH(Aliases!$A$5:$A$80,E888))*(Aliases!$A$5:$A$80&lt;&gt;""),0),0)),"UNMATCHED"))</f>
        <v/>
      </c>
      <c r="M888" s="16"/>
      <c r="N888" s="16"/>
    </row>
    <row r="889" spans="1:14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6"/>
      <c r="L889" s="15" t="str">
        <f>IF(E889="","",IFERROR(INDEX(Aliases!$B$5:$B$80,MATCH(1,INDEX(ISNUMBER(SEARCH(Aliases!$A$5:$A$80,E889))*(Aliases!$A$5:$A$80&lt;&gt;""),0),0)),"UNMATCHED"))</f>
        <v/>
      </c>
      <c r="M889" s="16"/>
      <c r="N889" s="16"/>
    </row>
    <row r="890" spans="1:14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6"/>
      <c r="L890" s="15" t="str">
        <f>IF(E890="","",IFERROR(INDEX(Aliases!$B$5:$B$80,MATCH(1,INDEX(ISNUMBER(SEARCH(Aliases!$A$5:$A$80,E890))*(Aliases!$A$5:$A$80&lt;&gt;""),0),0)),"UNMATCHED"))</f>
        <v/>
      </c>
      <c r="M890" s="16"/>
      <c r="N890" s="16"/>
    </row>
    <row r="891" spans="1:14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6"/>
      <c r="L891" s="15" t="str">
        <f>IF(E891="","",IFERROR(INDEX(Aliases!$B$5:$B$80,MATCH(1,INDEX(ISNUMBER(SEARCH(Aliases!$A$5:$A$80,E891))*(Aliases!$A$5:$A$80&lt;&gt;""),0),0)),"UNMATCHED"))</f>
        <v/>
      </c>
      <c r="M891" s="16"/>
      <c r="N891" s="16"/>
    </row>
    <row r="892" spans="1:14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6"/>
      <c r="L892" s="15" t="str">
        <f>IF(E892="","",IFERROR(INDEX(Aliases!$B$5:$B$80,MATCH(1,INDEX(ISNUMBER(SEARCH(Aliases!$A$5:$A$80,E892))*(Aliases!$A$5:$A$80&lt;&gt;""),0),0)),"UNMATCHED"))</f>
        <v/>
      </c>
      <c r="M892" s="16"/>
      <c r="N892" s="16"/>
    </row>
    <row r="893" spans="1:14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6"/>
      <c r="L893" s="15" t="str">
        <f>IF(E893="","",IFERROR(INDEX(Aliases!$B$5:$B$80,MATCH(1,INDEX(ISNUMBER(SEARCH(Aliases!$A$5:$A$80,E893))*(Aliases!$A$5:$A$80&lt;&gt;""),0),0)),"UNMATCHED"))</f>
        <v/>
      </c>
      <c r="M893" s="16"/>
      <c r="N893" s="16"/>
    </row>
    <row r="894" spans="1:14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6"/>
      <c r="L894" s="15" t="str">
        <f>IF(E894="","",IFERROR(INDEX(Aliases!$B$5:$B$80,MATCH(1,INDEX(ISNUMBER(SEARCH(Aliases!$A$5:$A$80,E894))*(Aliases!$A$5:$A$80&lt;&gt;""),0),0)),"UNMATCHED"))</f>
        <v/>
      </c>
      <c r="M894" s="16"/>
      <c r="N894" s="16"/>
    </row>
    <row r="895" spans="1:14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6"/>
      <c r="L895" s="15" t="str">
        <f>IF(E895="","",IFERROR(INDEX(Aliases!$B$5:$B$80,MATCH(1,INDEX(ISNUMBER(SEARCH(Aliases!$A$5:$A$80,E895))*(Aliases!$A$5:$A$80&lt;&gt;""),0),0)),"UNMATCHED"))</f>
        <v/>
      </c>
      <c r="M895" s="16"/>
      <c r="N895" s="16"/>
    </row>
    <row r="896" spans="1:14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6"/>
      <c r="L896" s="15" t="str">
        <f>IF(E896="","",IFERROR(INDEX(Aliases!$B$5:$B$80,MATCH(1,INDEX(ISNUMBER(SEARCH(Aliases!$A$5:$A$80,E896))*(Aliases!$A$5:$A$80&lt;&gt;""),0),0)),"UNMATCHED"))</f>
        <v/>
      </c>
      <c r="M896" s="16"/>
      <c r="N896" s="16"/>
    </row>
    <row r="897" spans="1:14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6"/>
      <c r="L897" s="15" t="str">
        <f>IF(E897="","",IFERROR(INDEX(Aliases!$B$5:$B$80,MATCH(1,INDEX(ISNUMBER(SEARCH(Aliases!$A$5:$A$80,E897))*(Aliases!$A$5:$A$80&lt;&gt;""),0),0)),"UNMATCHED"))</f>
        <v/>
      </c>
      <c r="M897" s="16"/>
      <c r="N897" s="16"/>
    </row>
    <row r="898" spans="1:14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6"/>
      <c r="L898" s="15" t="str">
        <f>IF(E898="","",IFERROR(INDEX(Aliases!$B$5:$B$80,MATCH(1,INDEX(ISNUMBER(SEARCH(Aliases!$A$5:$A$80,E898))*(Aliases!$A$5:$A$80&lt;&gt;""),0),0)),"UNMATCHED"))</f>
        <v/>
      </c>
      <c r="M898" s="16"/>
      <c r="N898" s="16"/>
    </row>
    <row r="899" spans="1:14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6"/>
      <c r="L899" s="15" t="str">
        <f>IF(E899="","",IFERROR(INDEX(Aliases!$B$5:$B$80,MATCH(1,INDEX(ISNUMBER(SEARCH(Aliases!$A$5:$A$80,E899))*(Aliases!$A$5:$A$80&lt;&gt;""),0),0)),"UNMATCHED"))</f>
        <v/>
      </c>
      <c r="M899" s="16"/>
      <c r="N899" s="16"/>
    </row>
    <row r="900" spans="1:14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6"/>
      <c r="L900" s="15" t="str">
        <f>IF(E900="","",IFERROR(INDEX(Aliases!$B$5:$B$80,MATCH(1,INDEX(ISNUMBER(SEARCH(Aliases!$A$5:$A$80,E900))*(Aliases!$A$5:$A$80&lt;&gt;""),0),0)),"UNMATCHED"))</f>
        <v/>
      </c>
      <c r="M900" s="16"/>
      <c r="N900" s="16"/>
    </row>
    <row r="901" spans="1:14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6"/>
      <c r="L901" s="15" t="str">
        <f>IF(E901="","",IFERROR(INDEX(Aliases!$B$5:$B$80,MATCH(1,INDEX(ISNUMBER(SEARCH(Aliases!$A$5:$A$80,E901))*(Aliases!$A$5:$A$80&lt;&gt;""),0),0)),"UNMATCHED"))</f>
        <v/>
      </c>
      <c r="M901" s="16"/>
      <c r="N901" s="16"/>
    </row>
    <row r="902" spans="1:14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6"/>
      <c r="L902" s="15" t="str">
        <f>IF(E902="","",IFERROR(INDEX(Aliases!$B$5:$B$80,MATCH(1,INDEX(ISNUMBER(SEARCH(Aliases!$A$5:$A$80,E902))*(Aliases!$A$5:$A$80&lt;&gt;""),0),0)),"UNMATCHED"))</f>
        <v/>
      </c>
      <c r="M902" s="16"/>
      <c r="N902" s="16"/>
    </row>
    <row r="903" spans="1:14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6"/>
      <c r="L903" s="15" t="str">
        <f>IF(E903="","",IFERROR(INDEX(Aliases!$B$5:$B$80,MATCH(1,INDEX(ISNUMBER(SEARCH(Aliases!$A$5:$A$80,E903))*(Aliases!$A$5:$A$80&lt;&gt;""),0),0)),"UNMATCHED"))</f>
        <v/>
      </c>
      <c r="M903" s="16"/>
      <c r="N903" s="16"/>
    </row>
    <row r="904" spans="1:14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6"/>
      <c r="L904" s="15" t="str">
        <f>IF(E904="","",IFERROR(INDEX(Aliases!$B$5:$B$80,MATCH(1,INDEX(ISNUMBER(SEARCH(Aliases!$A$5:$A$80,E904))*(Aliases!$A$5:$A$80&lt;&gt;""),0),0)),"UNMATCHED"))</f>
        <v/>
      </c>
      <c r="M904" s="16"/>
      <c r="N904" s="16"/>
    </row>
    <row r="905" spans="1:14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6"/>
      <c r="L905" s="15" t="str">
        <f>IF(E905="","",IFERROR(INDEX(Aliases!$B$5:$B$80,MATCH(1,INDEX(ISNUMBER(SEARCH(Aliases!$A$5:$A$80,E905))*(Aliases!$A$5:$A$80&lt;&gt;""),0),0)),"UNMATCHED"))</f>
        <v/>
      </c>
      <c r="M905" s="16"/>
      <c r="N905" s="16"/>
    </row>
    <row r="906" spans="1:14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6"/>
      <c r="L906" s="15" t="str">
        <f>IF(E906="","",IFERROR(INDEX(Aliases!$B$5:$B$80,MATCH(1,INDEX(ISNUMBER(SEARCH(Aliases!$A$5:$A$80,E906))*(Aliases!$A$5:$A$80&lt;&gt;""),0),0)),"UNMATCHED"))</f>
        <v/>
      </c>
      <c r="M906" s="16"/>
      <c r="N906" s="16"/>
    </row>
    <row r="907" spans="1:14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6"/>
      <c r="L907" s="15" t="str">
        <f>IF(E907="","",IFERROR(INDEX(Aliases!$B$5:$B$80,MATCH(1,INDEX(ISNUMBER(SEARCH(Aliases!$A$5:$A$80,E907))*(Aliases!$A$5:$A$80&lt;&gt;""),0),0)),"UNMATCHED"))</f>
        <v/>
      </c>
      <c r="M907" s="16"/>
      <c r="N907" s="16"/>
    </row>
    <row r="908" spans="1:14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6"/>
      <c r="L908" s="15" t="str">
        <f>IF(E908="","",IFERROR(INDEX(Aliases!$B$5:$B$80,MATCH(1,INDEX(ISNUMBER(SEARCH(Aliases!$A$5:$A$80,E908))*(Aliases!$A$5:$A$80&lt;&gt;""),0),0)),"UNMATCHED"))</f>
        <v/>
      </c>
      <c r="M908" s="16"/>
      <c r="N908" s="16"/>
    </row>
    <row r="909" spans="1:14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6"/>
      <c r="L909" s="15" t="str">
        <f>IF(E909="","",IFERROR(INDEX(Aliases!$B$5:$B$80,MATCH(1,INDEX(ISNUMBER(SEARCH(Aliases!$A$5:$A$80,E909))*(Aliases!$A$5:$A$80&lt;&gt;""),0),0)),"UNMATCHED"))</f>
        <v/>
      </c>
      <c r="M909" s="16"/>
      <c r="N909" s="16"/>
    </row>
    <row r="910" spans="1:14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6"/>
      <c r="L910" s="15" t="str">
        <f>IF(E910="","",IFERROR(INDEX(Aliases!$B$5:$B$80,MATCH(1,INDEX(ISNUMBER(SEARCH(Aliases!$A$5:$A$80,E910))*(Aliases!$A$5:$A$80&lt;&gt;""),0),0)),"UNMATCHED"))</f>
        <v/>
      </c>
      <c r="M910" s="16"/>
      <c r="N910" s="16"/>
    </row>
    <row r="911" spans="1:14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6"/>
      <c r="L911" s="15" t="str">
        <f>IF(E911="","",IFERROR(INDEX(Aliases!$B$5:$B$80,MATCH(1,INDEX(ISNUMBER(SEARCH(Aliases!$A$5:$A$80,E911))*(Aliases!$A$5:$A$80&lt;&gt;""),0),0)),"UNMATCHED"))</f>
        <v/>
      </c>
      <c r="M911" s="16"/>
      <c r="N911" s="16"/>
    </row>
    <row r="912" spans="1:14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6"/>
      <c r="L912" s="15" t="str">
        <f>IF(E912="","",IFERROR(INDEX(Aliases!$B$5:$B$80,MATCH(1,INDEX(ISNUMBER(SEARCH(Aliases!$A$5:$A$80,E912))*(Aliases!$A$5:$A$80&lt;&gt;""),0),0)),"UNMATCHED"))</f>
        <v/>
      </c>
      <c r="M912" s="16"/>
      <c r="N912" s="16"/>
    </row>
    <row r="913" spans="1:14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6"/>
      <c r="L913" s="15" t="str">
        <f>IF(E913="","",IFERROR(INDEX(Aliases!$B$5:$B$80,MATCH(1,INDEX(ISNUMBER(SEARCH(Aliases!$A$5:$A$80,E913))*(Aliases!$A$5:$A$80&lt;&gt;""),0),0)),"UNMATCHED"))</f>
        <v/>
      </c>
      <c r="M913" s="16"/>
      <c r="N913" s="16"/>
    </row>
    <row r="914" spans="1:14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6"/>
      <c r="L914" s="15" t="str">
        <f>IF(E914="","",IFERROR(INDEX(Aliases!$B$5:$B$80,MATCH(1,INDEX(ISNUMBER(SEARCH(Aliases!$A$5:$A$80,E914))*(Aliases!$A$5:$A$80&lt;&gt;""),0),0)),"UNMATCHED"))</f>
        <v/>
      </c>
      <c r="M914" s="16"/>
      <c r="N914" s="16"/>
    </row>
    <row r="915" spans="1:14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6"/>
      <c r="L915" s="15" t="str">
        <f>IF(E915="","",IFERROR(INDEX(Aliases!$B$5:$B$80,MATCH(1,INDEX(ISNUMBER(SEARCH(Aliases!$A$5:$A$80,E915))*(Aliases!$A$5:$A$80&lt;&gt;""),0),0)),"UNMATCHED"))</f>
        <v/>
      </c>
      <c r="M915" s="16"/>
      <c r="N915" s="16"/>
    </row>
    <row r="916" spans="1:14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6"/>
      <c r="L916" s="15" t="str">
        <f>IF(E916="","",IFERROR(INDEX(Aliases!$B$5:$B$80,MATCH(1,INDEX(ISNUMBER(SEARCH(Aliases!$A$5:$A$80,E916))*(Aliases!$A$5:$A$80&lt;&gt;""),0),0)),"UNMATCHED"))</f>
        <v/>
      </c>
      <c r="M916" s="16"/>
      <c r="N916" s="16"/>
    </row>
    <row r="917" spans="1:14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6"/>
      <c r="L917" s="15" t="str">
        <f>IF(E917="","",IFERROR(INDEX(Aliases!$B$5:$B$80,MATCH(1,INDEX(ISNUMBER(SEARCH(Aliases!$A$5:$A$80,E917))*(Aliases!$A$5:$A$80&lt;&gt;""),0),0)),"UNMATCHED"))</f>
        <v/>
      </c>
      <c r="M917" s="16"/>
      <c r="N917" s="16"/>
    </row>
    <row r="918" spans="1:14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6"/>
      <c r="L918" s="15" t="str">
        <f>IF(E918="","",IFERROR(INDEX(Aliases!$B$5:$B$80,MATCH(1,INDEX(ISNUMBER(SEARCH(Aliases!$A$5:$A$80,E918))*(Aliases!$A$5:$A$80&lt;&gt;""),0),0)),"UNMATCHED"))</f>
        <v/>
      </c>
      <c r="M918" s="16"/>
      <c r="N918" s="16"/>
    </row>
    <row r="919" spans="1:14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6"/>
      <c r="L919" s="15" t="str">
        <f>IF(E919="","",IFERROR(INDEX(Aliases!$B$5:$B$80,MATCH(1,INDEX(ISNUMBER(SEARCH(Aliases!$A$5:$A$80,E919))*(Aliases!$A$5:$A$80&lt;&gt;""),0),0)),"UNMATCHED"))</f>
        <v/>
      </c>
      <c r="M919" s="16"/>
      <c r="N919" s="16"/>
    </row>
    <row r="920" spans="1:14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6"/>
      <c r="L920" s="15" t="str">
        <f>IF(E920="","",IFERROR(INDEX(Aliases!$B$5:$B$80,MATCH(1,INDEX(ISNUMBER(SEARCH(Aliases!$A$5:$A$80,E920))*(Aliases!$A$5:$A$80&lt;&gt;""),0),0)),"UNMATCHED"))</f>
        <v/>
      </c>
      <c r="M920" s="16"/>
      <c r="N920" s="16"/>
    </row>
    <row r="921" spans="1:14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6"/>
      <c r="L921" s="15" t="str">
        <f>IF(E921="","",IFERROR(INDEX(Aliases!$B$5:$B$80,MATCH(1,INDEX(ISNUMBER(SEARCH(Aliases!$A$5:$A$80,E921))*(Aliases!$A$5:$A$80&lt;&gt;""),0),0)),"UNMATCHED"))</f>
        <v/>
      </c>
      <c r="M921" s="16"/>
      <c r="N921" s="16"/>
    </row>
    <row r="922" spans="1:14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6"/>
      <c r="L922" s="15" t="str">
        <f>IF(E922="","",IFERROR(INDEX(Aliases!$B$5:$B$80,MATCH(1,INDEX(ISNUMBER(SEARCH(Aliases!$A$5:$A$80,E922))*(Aliases!$A$5:$A$80&lt;&gt;""),0),0)),"UNMATCHED"))</f>
        <v/>
      </c>
      <c r="M922" s="16"/>
      <c r="N922" s="16"/>
    </row>
    <row r="923" spans="1:14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6"/>
      <c r="L923" s="15" t="str">
        <f>IF(E923="","",IFERROR(INDEX(Aliases!$B$5:$B$80,MATCH(1,INDEX(ISNUMBER(SEARCH(Aliases!$A$5:$A$80,E923))*(Aliases!$A$5:$A$80&lt;&gt;""),0),0)),"UNMATCHED"))</f>
        <v/>
      </c>
      <c r="M923" s="16"/>
      <c r="N923" s="16"/>
    </row>
    <row r="924" spans="1:14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6"/>
      <c r="L924" s="15" t="str">
        <f>IF(E924="","",IFERROR(INDEX(Aliases!$B$5:$B$80,MATCH(1,INDEX(ISNUMBER(SEARCH(Aliases!$A$5:$A$80,E924))*(Aliases!$A$5:$A$80&lt;&gt;""),0),0)),"UNMATCHED"))</f>
        <v/>
      </c>
      <c r="M924" s="16"/>
      <c r="N924" s="16"/>
    </row>
    <row r="925" spans="1:14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6"/>
      <c r="L925" s="15" t="str">
        <f>IF(E925="","",IFERROR(INDEX(Aliases!$B$5:$B$80,MATCH(1,INDEX(ISNUMBER(SEARCH(Aliases!$A$5:$A$80,E925))*(Aliases!$A$5:$A$80&lt;&gt;""),0),0)),"UNMATCHED"))</f>
        <v/>
      </c>
      <c r="M925" s="16"/>
      <c r="N925" s="16"/>
    </row>
    <row r="926" spans="1:14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6"/>
      <c r="L926" s="15" t="str">
        <f>IF(E926="","",IFERROR(INDEX(Aliases!$B$5:$B$80,MATCH(1,INDEX(ISNUMBER(SEARCH(Aliases!$A$5:$A$80,E926))*(Aliases!$A$5:$A$80&lt;&gt;""),0),0)),"UNMATCHED"))</f>
        <v/>
      </c>
      <c r="M926" s="16"/>
      <c r="N926" s="16"/>
    </row>
    <row r="927" spans="1:14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6"/>
      <c r="L927" s="15" t="str">
        <f>IF(E927="","",IFERROR(INDEX(Aliases!$B$5:$B$80,MATCH(1,INDEX(ISNUMBER(SEARCH(Aliases!$A$5:$A$80,E927))*(Aliases!$A$5:$A$80&lt;&gt;""),0),0)),"UNMATCHED"))</f>
        <v/>
      </c>
      <c r="M927" s="16"/>
      <c r="N927" s="16"/>
    </row>
    <row r="928" spans="1:14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6"/>
      <c r="L928" s="15" t="str">
        <f>IF(E928="","",IFERROR(INDEX(Aliases!$B$5:$B$80,MATCH(1,INDEX(ISNUMBER(SEARCH(Aliases!$A$5:$A$80,E928))*(Aliases!$A$5:$A$80&lt;&gt;""),0),0)),"UNMATCHED"))</f>
        <v/>
      </c>
      <c r="M928" s="16"/>
      <c r="N928" s="16"/>
    </row>
    <row r="929" spans="1:14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6"/>
      <c r="L929" s="15" t="str">
        <f>IF(E929="","",IFERROR(INDEX(Aliases!$B$5:$B$80,MATCH(1,INDEX(ISNUMBER(SEARCH(Aliases!$A$5:$A$80,E929))*(Aliases!$A$5:$A$80&lt;&gt;""),0),0)),"UNMATCHED"))</f>
        <v/>
      </c>
      <c r="M929" s="16"/>
      <c r="N929" s="16"/>
    </row>
    <row r="930" spans="1:14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6"/>
      <c r="L930" s="15" t="str">
        <f>IF(E930="","",IFERROR(INDEX(Aliases!$B$5:$B$80,MATCH(1,INDEX(ISNUMBER(SEARCH(Aliases!$A$5:$A$80,E930))*(Aliases!$A$5:$A$80&lt;&gt;""),0),0)),"UNMATCHED"))</f>
        <v/>
      </c>
      <c r="M930" s="16"/>
      <c r="N930" s="16"/>
    </row>
    <row r="931" spans="1:14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6"/>
      <c r="L931" s="15" t="str">
        <f>IF(E931="","",IFERROR(INDEX(Aliases!$B$5:$B$80,MATCH(1,INDEX(ISNUMBER(SEARCH(Aliases!$A$5:$A$80,E931))*(Aliases!$A$5:$A$80&lt;&gt;""),0),0)),"UNMATCHED"))</f>
        <v/>
      </c>
      <c r="M931" s="16"/>
      <c r="N931" s="16"/>
    </row>
    <row r="932" spans="1:14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6"/>
      <c r="L932" s="15" t="str">
        <f>IF(E932="","",IFERROR(INDEX(Aliases!$B$5:$B$80,MATCH(1,INDEX(ISNUMBER(SEARCH(Aliases!$A$5:$A$80,E932))*(Aliases!$A$5:$A$80&lt;&gt;""),0),0)),"UNMATCHED"))</f>
        <v/>
      </c>
      <c r="M932" s="16"/>
      <c r="N932" s="16"/>
    </row>
    <row r="933" spans="1:14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6"/>
      <c r="L933" s="15" t="str">
        <f>IF(E933="","",IFERROR(INDEX(Aliases!$B$5:$B$80,MATCH(1,INDEX(ISNUMBER(SEARCH(Aliases!$A$5:$A$80,E933))*(Aliases!$A$5:$A$80&lt;&gt;""),0),0)),"UNMATCHED"))</f>
        <v/>
      </c>
      <c r="M933" s="16"/>
      <c r="N933" s="16"/>
    </row>
    <row r="934" spans="1:14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6"/>
      <c r="L934" s="15" t="str">
        <f>IF(E934="","",IFERROR(INDEX(Aliases!$B$5:$B$80,MATCH(1,INDEX(ISNUMBER(SEARCH(Aliases!$A$5:$A$80,E934))*(Aliases!$A$5:$A$80&lt;&gt;""),0),0)),"UNMATCHED"))</f>
        <v/>
      </c>
      <c r="M934" s="16"/>
      <c r="N934" s="16"/>
    </row>
    <row r="935" spans="1:14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6"/>
      <c r="L935" s="15" t="str">
        <f>IF(E935="","",IFERROR(INDEX(Aliases!$B$5:$B$80,MATCH(1,INDEX(ISNUMBER(SEARCH(Aliases!$A$5:$A$80,E935))*(Aliases!$A$5:$A$80&lt;&gt;""),0),0)),"UNMATCHED"))</f>
        <v/>
      </c>
      <c r="M935" s="16"/>
      <c r="N935" s="16"/>
    </row>
    <row r="936" spans="1:14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6"/>
      <c r="L936" s="15" t="str">
        <f>IF(E936="","",IFERROR(INDEX(Aliases!$B$5:$B$80,MATCH(1,INDEX(ISNUMBER(SEARCH(Aliases!$A$5:$A$80,E936))*(Aliases!$A$5:$A$80&lt;&gt;""),0),0)),"UNMATCHED"))</f>
        <v/>
      </c>
      <c r="M936" s="16"/>
      <c r="N936" s="16"/>
    </row>
    <row r="937" spans="1:14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6"/>
      <c r="L937" s="15" t="str">
        <f>IF(E937="","",IFERROR(INDEX(Aliases!$B$5:$B$80,MATCH(1,INDEX(ISNUMBER(SEARCH(Aliases!$A$5:$A$80,E937))*(Aliases!$A$5:$A$80&lt;&gt;""),0),0)),"UNMATCHED"))</f>
        <v/>
      </c>
      <c r="M937" s="16"/>
      <c r="N937" s="16"/>
    </row>
    <row r="938" spans="1:14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6"/>
      <c r="L938" s="15" t="str">
        <f>IF(E938="","",IFERROR(INDEX(Aliases!$B$5:$B$80,MATCH(1,INDEX(ISNUMBER(SEARCH(Aliases!$A$5:$A$80,E938))*(Aliases!$A$5:$A$80&lt;&gt;""),0),0)),"UNMATCHED"))</f>
        <v/>
      </c>
      <c r="M938" s="16"/>
      <c r="N938" s="16"/>
    </row>
    <row r="939" spans="1:14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6"/>
      <c r="L939" s="15" t="str">
        <f>IF(E939="","",IFERROR(INDEX(Aliases!$B$5:$B$80,MATCH(1,INDEX(ISNUMBER(SEARCH(Aliases!$A$5:$A$80,E939))*(Aliases!$A$5:$A$80&lt;&gt;""),0),0)),"UNMATCHED"))</f>
        <v/>
      </c>
      <c r="M939" s="16"/>
      <c r="N939" s="16"/>
    </row>
    <row r="940" spans="1:14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6"/>
      <c r="L940" s="15" t="str">
        <f>IF(E940="","",IFERROR(INDEX(Aliases!$B$5:$B$80,MATCH(1,INDEX(ISNUMBER(SEARCH(Aliases!$A$5:$A$80,E940))*(Aliases!$A$5:$A$80&lt;&gt;""),0),0)),"UNMATCHED"))</f>
        <v/>
      </c>
      <c r="M940" s="16"/>
      <c r="N940" s="16"/>
    </row>
    <row r="941" spans="1:14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6"/>
      <c r="L941" s="15" t="str">
        <f>IF(E941="","",IFERROR(INDEX(Aliases!$B$5:$B$80,MATCH(1,INDEX(ISNUMBER(SEARCH(Aliases!$A$5:$A$80,E941))*(Aliases!$A$5:$A$80&lt;&gt;""),0),0)),"UNMATCHED"))</f>
        <v/>
      </c>
      <c r="M941" s="16"/>
      <c r="N941" s="16"/>
    </row>
    <row r="942" spans="1:14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6"/>
      <c r="L942" s="15" t="str">
        <f>IF(E942="","",IFERROR(INDEX(Aliases!$B$5:$B$80,MATCH(1,INDEX(ISNUMBER(SEARCH(Aliases!$A$5:$A$80,E942))*(Aliases!$A$5:$A$80&lt;&gt;""),0),0)),"UNMATCHED"))</f>
        <v/>
      </c>
      <c r="M942" s="16"/>
      <c r="N942" s="16"/>
    </row>
    <row r="943" spans="1:14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6"/>
      <c r="L943" s="15" t="str">
        <f>IF(E943="","",IFERROR(INDEX(Aliases!$B$5:$B$80,MATCH(1,INDEX(ISNUMBER(SEARCH(Aliases!$A$5:$A$80,E943))*(Aliases!$A$5:$A$80&lt;&gt;""),0),0)),"UNMATCHED"))</f>
        <v/>
      </c>
      <c r="M943" s="16"/>
      <c r="N943" s="16"/>
    </row>
    <row r="944" spans="1:14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6"/>
      <c r="L944" s="15" t="str">
        <f>IF(E944="","",IFERROR(INDEX(Aliases!$B$5:$B$80,MATCH(1,INDEX(ISNUMBER(SEARCH(Aliases!$A$5:$A$80,E944))*(Aliases!$A$5:$A$80&lt;&gt;""),0),0)),"UNMATCHED"))</f>
        <v/>
      </c>
      <c r="M944" s="16"/>
      <c r="N944" s="16"/>
    </row>
    <row r="945" spans="1:14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6"/>
      <c r="L945" s="15" t="str">
        <f>IF(E945="","",IFERROR(INDEX(Aliases!$B$5:$B$80,MATCH(1,INDEX(ISNUMBER(SEARCH(Aliases!$A$5:$A$80,E945))*(Aliases!$A$5:$A$80&lt;&gt;""),0),0)),"UNMATCHED"))</f>
        <v/>
      </c>
      <c r="M945" s="16"/>
      <c r="N945" s="16"/>
    </row>
    <row r="946" spans="1:14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6"/>
      <c r="L946" s="15" t="str">
        <f>IF(E946="","",IFERROR(INDEX(Aliases!$B$5:$B$80,MATCH(1,INDEX(ISNUMBER(SEARCH(Aliases!$A$5:$A$80,E946))*(Aliases!$A$5:$A$80&lt;&gt;""),0),0)),"UNMATCHED"))</f>
        <v/>
      </c>
      <c r="M946" s="16"/>
      <c r="N946" s="16"/>
    </row>
    <row r="947" spans="1:14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6"/>
      <c r="L947" s="15" t="str">
        <f>IF(E947="","",IFERROR(INDEX(Aliases!$B$5:$B$80,MATCH(1,INDEX(ISNUMBER(SEARCH(Aliases!$A$5:$A$80,E947))*(Aliases!$A$5:$A$80&lt;&gt;""),0),0)),"UNMATCHED"))</f>
        <v/>
      </c>
      <c r="M947" s="16"/>
      <c r="N947" s="16"/>
    </row>
    <row r="948" spans="1:14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6"/>
      <c r="L948" s="15" t="str">
        <f>IF(E948="","",IFERROR(INDEX(Aliases!$B$5:$B$80,MATCH(1,INDEX(ISNUMBER(SEARCH(Aliases!$A$5:$A$80,E948))*(Aliases!$A$5:$A$80&lt;&gt;""),0),0)),"UNMATCHED"))</f>
        <v/>
      </c>
      <c r="M948" s="16"/>
      <c r="N948" s="16"/>
    </row>
    <row r="949" spans="1:14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6"/>
      <c r="L949" s="15" t="str">
        <f>IF(E949="","",IFERROR(INDEX(Aliases!$B$5:$B$80,MATCH(1,INDEX(ISNUMBER(SEARCH(Aliases!$A$5:$A$80,E949))*(Aliases!$A$5:$A$80&lt;&gt;""),0),0)),"UNMATCHED"))</f>
        <v/>
      </c>
      <c r="M949" s="16"/>
      <c r="N949" s="16"/>
    </row>
    <row r="950" spans="1:14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6"/>
      <c r="L950" s="15" t="str">
        <f>IF(E950="","",IFERROR(INDEX(Aliases!$B$5:$B$80,MATCH(1,INDEX(ISNUMBER(SEARCH(Aliases!$A$5:$A$80,E950))*(Aliases!$A$5:$A$80&lt;&gt;""),0),0)),"UNMATCHED"))</f>
        <v/>
      </c>
      <c r="M950" s="16"/>
      <c r="N950" s="16"/>
    </row>
    <row r="951" spans="1:14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6"/>
      <c r="L951" s="15" t="str">
        <f>IF(E951="","",IFERROR(INDEX(Aliases!$B$5:$B$80,MATCH(1,INDEX(ISNUMBER(SEARCH(Aliases!$A$5:$A$80,E951))*(Aliases!$A$5:$A$80&lt;&gt;""),0),0)),"UNMATCHED"))</f>
        <v/>
      </c>
      <c r="M951" s="16"/>
      <c r="N951" s="16"/>
    </row>
    <row r="952" spans="1:14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6"/>
      <c r="L952" s="15" t="str">
        <f>IF(E952="","",IFERROR(INDEX(Aliases!$B$5:$B$80,MATCH(1,INDEX(ISNUMBER(SEARCH(Aliases!$A$5:$A$80,E952))*(Aliases!$A$5:$A$80&lt;&gt;""),0),0)),"UNMATCHED"))</f>
        <v/>
      </c>
      <c r="M952" s="16"/>
      <c r="N952" s="16"/>
    </row>
    <row r="953" spans="1:14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6"/>
      <c r="L953" s="15" t="str">
        <f>IF(E953="","",IFERROR(INDEX(Aliases!$B$5:$B$80,MATCH(1,INDEX(ISNUMBER(SEARCH(Aliases!$A$5:$A$80,E953))*(Aliases!$A$5:$A$80&lt;&gt;""),0),0)),"UNMATCHED"))</f>
        <v/>
      </c>
      <c r="M953" s="16"/>
      <c r="N953" s="16"/>
    </row>
    <row r="954" spans="1:14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6"/>
      <c r="L954" s="15" t="str">
        <f>IF(E954="","",IFERROR(INDEX(Aliases!$B$5:$B$80,MATCH(1,INDEX(ISNUMBER(SEARCH(Aliases!$A$5:$A$80,E954))*(Aliases!$A$5:$A$80&lt;&gt;""),0),0)),"UNMATCHED"))</f>
        <v/>
      </c>
      <c r="M954" s="16"/>
      <c r="N954" s="16"/>
    </row>
    <row r="955" spans="1:14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6"/>
      <c r="L955" s="15" t="str">
        <f>IF(E955="","",IFERROR(INDEX(Aliases!$B$5:$B$80,MATCH(1,INDEX(ISNUMBER(SEARCH(Aliases!$A$5:$A$80,E955))*(Aliases!$A$5:$A$80&lt;&gt;""),0),0)),"UNMATCHED"))</f>
        <v/>
      </c>
      <c r="M955" s="16"/>
      <c r="N955" s="16"/>
    </row>
    <row r="956" spans="1:14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6"/>
      <c r="L956" s="15" t="str">
        <f>IF(E956="","",IFERROR(INDEX(Aliases!$B$5:$B$80,MATCH(1,INDEX(ISNUMBER(SEARCH(Aliases!$A$5:$A$80,E956))*(Aliases!$A$5:$A$80&lt;&gt;""),0),0)),"UNMATCHED"))</f>
        <v/>
      </c>
      <c r="M956" s="16"/>
      <c r="N956" s="16"/>
    </row>
    <row r="957" spans="1:14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6"/>
      <c r="L957" s="15" t="str">
        <f>IF(E957="","",IFERROR(INDEX(Aliases!$B$5:$B$80,MATCH(1,INDEX(ISNUMBER(SEARCH(Aliases!$A$5:$A$80,E957))*(Aliases!$A$5:$A$80&lt;&gt;""),0),0)),"UNMATCHED"))</f>
        <v/>
      </c>
      <c r="M957" s="16"/>
      <c r="N957" s="16"/>
    </row>
    <row r="958" spans="1:14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6"/>
      <c r="L958" s="15" t="str">
        <f>IF(E958="","",IFERROR(INDEX(Aliases!$B$5:$B$80,MATCH(1,INDEX(ISNUMBER(SEARCH(Aliases!$A$5:$A$80,E958))*(Aliases!$A$5:$A$80&lt;&gt;""),0),0)),"UNMATCHED"))</f>
        <v/>
      </c>
      <c r="M958" s="16"/>
      <c r="N958" s="16"/>
    </row>
    <row r="959" spans="1:14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6"/>
      <c r="L959" s="15" t="str">
        <f>IF(E959="","",IFERROR(INDEX(Aliases!$B$5:$B$80,MATCH(1,INDEX(ISNUMBER(SEARCH(Aliases!$A$5:$A$80,E959))*(Aliases!$A$5:$A$80&lt;&gt;""),0),0)),"UNMATCHED"))</f>
        <v/>
      </c>
      <c r="M959" s="16"/>
      <c r="N959" s="16"/>
    </row>
    <row r="960" spans="1:14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6"/>
      <c r="L960" s="15" t="str">
        <f>IF(E960="","",IFERROR(INDEX(Aliases!$B$5:$B$80,MATCH(1,INDEX(ISNUMBER(SEARCH(Aliases!$A$5:$A$80,E960))*(Aliases!$A$5:$A$80&lt;&gt;""),0),0)),"UNMATCHED"))</f>
        <v/>
      </c>
      <c r="M960" s="16"/>
      <c r="N960" s="16"/>
    </row>
    <row r="961" spans="1:14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6"/>
      <c r="L961" s="15" t="str">
        <f>IF(E961="","",IFERROR(INDEX(Aliases!$B$5:$B$80,MATCH(1,INDEX(ISNUMBER(SEARCH(Aliases!$A$5:$A$80,E961))*(Aliases!$A$5:$A$80&lt;&gt;""),0),0)),"UNMATCHED"))</f>
        <v/>
      </c>
      <c r="M961" s="16"/>
      <c r="N961" s="16"/>
    </row>
    <row r="962" spans="1:14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6"/>
      <c r="L962" s="15" t="str">
        <f>IF(E962="","",IFERROR(INDEX(Aliases!$B$5:$B$80,MATCH(1,INDEX(ISNUMBER(SEARCH(Aliases!$A$5:$A$80,E962))*(Aliases!$A$5:$A$80&lt;&gt;""),0),0)),"UNMATCHED"))</f>
        <v/>
      </c>
      <c r="M962" s="16"/>
      <c r="N962" s="16"/>
    </row>
    <row r="963" spans="1:14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6"/>
      <c r="L963" s="15" t="str">
        <f>IF(E963="","",IFERROR(INDEX(Aliases!$B$5:$B$80,MATCH(1,INDEX(ISNUMBER(SEARCH(Aliases!$A$5:$A$80,E963))*(Aliases!$A$5:$A$80&lt;&gt;""),0),0)),"UNMATCHED"))</f>
        <v/>
      </c>
      <c r="M963" s="16"/>
      <c r="N963" s="16"/>
    </row>
    <row r="964" spans="1:14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6"/>
      <c r="L964" s="15" t="str">
        <f>IF(E964="","",IFERROR(INDEX(Aliases!$B$5:$B$80,MATCH(1,INDEX(ISNUMBER(SEARCH(Aliases!$A$5:$A$80,E964))*(Aliases!$A$5:$A$80&lt;&gt;""),0),0)),"UNMATCHED"))</f>
        <v/>
      </c>
      <c r="M964" s="16"/>
      <c r="N964" s="16"/>
    </row>
    <row r="965" spans="1:14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6"/>
      <c r="L965" s="15" t="str">
        <f>IF(E965="","",IFERROR(INDEX(Aliases!$B$5:$B$80,MATCH(1,INDEX(ISNUMBER(SEARCH(Aliases!$A$5:$A$80,E965))*(Aliases!$A$5:$A$80&lt;&gt;""),0),0)),"UNMATCHED"))</f>
        <v/>
      </c>
      <c r="M965" s="16"/>
      <c r="N965" s="16"/>
    </row>
    <row r="966" spans="1:14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6"/>
      <c r="L966" s="15" t="str">
        <f>IF(E966="","",IFERROR(INDEX(Aliases!$B$5:$B$80,MATCH(1,INDEX(ISNUMBER(SEARCH(Aliases!$A$5:$A$80,E966))*(Aliases!$A$5:$A$80&lt;&gt;""),0),0)),"UNMATCHED"))</f>
        <v/>
      </c>
      <c r="M966" s="16"/>
      <c r="N966" s="16"/>
    </row>
    <row r="967" spans="1:14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6"/>
      <c r="L967" s="15" t="str">
        <f>IF(E967="","",IFERROR(INDEX(Aliases!$B$5:$B$80,MATCH(1,INDEX(ISNUMBER(SEARCH(Aliases!$A$5:$A$80,E967))*(Aliases!$A$5:$A$80&lt;&gt;""),0),0)),"UNMATCHED"))</f>
        <v/>
      </c>
      <c r="M967" s="16"/>
      <c r="N967" s="16"/>
    </row>
    <row r="968" spans="1:14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6"/>
      <c r="L968" s="15" t="str">
        <f>IF(E968="","",IFERROR(INDEX(Aliases!$B$5:$B$80,MATCH(1,INDEX(ISNUMBER(SEARCH(Aliases!$A$5:$A$80,E968))*(Aliases!$A$5:$A$80&lt;&gt;""),0),0)),"UNMATCHED"))</f>
        <v/>
      </c>
      <c r="M968" s="16"/>
      <c r="N968" s="16"/>
    </row>
    <row r="969" spans="1:14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6"/>
      <c r="L969" s="15" t="str">
        <f>IF(E969="","",IFERROR(INDEX(Aliases!$B$5:$B$80,MATCH(1,INDEX(ISNUMBER(SEARCH(Aliases!$A$5:$A$80,E969))*(Aliases!$A$5:$A$80&lt;&gt;""),0),0)),"UNMATCHED"))</f>
        <v/>
      </c>
      <c r="M969" s="16"/>
      <c r="N969" s="16"/>
    </row>
    <row r="970" spans="1:14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6"/>
      <c r="L970" s="15" t="str">
        <f>IF(E970="","",IFERROR(INDEX(Aliases!$B$5:$B$80,MATCH(1,INDEX(ISNUMBER(SEARCH(Aliases!$A$5:$A$80,E970))*(Aliases!$A$5:$A$80&lt;&gt;""),0),0)),"UNMATCHED"))</f>
        <v/>
      </c>
      <c r="M970" s="16"/>
      <c r="N970" s="16"/>
    </row>
    <row r="971" spans="1:14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6"/>
      <c r="L971" s="15" t="str">
        <f>IF(E971="","",IFERROR(INDEX(Aliases!$B$5:$B$80,MATCH(1,INDEX(ISNUMBER(SEARCH(Aliases!$A$5:$A$80,E971))*(Aliases!$A$5:$A$80&lt;&gt;""),0),0)),"UNMATCHED"))</f>
        <v/>
      </c>
      <c r="M971" s="16"/>
      <c r="N971" s="16"/>
    </row>
    <row r="972" spans="1:14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6"/>
      <c r="L972" s="15" t="str">
        <f>IF(E972="","",IFERROR(INDEX(Aliases!$B$5:$B$80,MATCH(1,INDEX(ISNUMBER(SEARCH(Aliases!$A$5:$A$80,E972))*(Aliases!$A$5:$A$80&lt;&gt;""),0),0)),"UNMATCHED"))</f>
        <v/>
      </c>
      <c r="M972" s="16"/>
      <c r="N972" s="16"/>
    </row>
    <row r="973" spans="1:14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6"/>
      <c r="L973" s="15" t="str">
        <f>IF(E973="","",IFERROR(INDEX(Aliases!$B$5:$B$80,MATCH(1,INDEX(ISNUMBER(SEARCH(Aliases!$A$5:$A$80,E973))*(Aliases!$A$5:$A$80&lt;&gt;""),0),0)),"UNMATCHED"))</f>
        <v/>
      </c>
      <c r="M973" s="16"/>
      <c r="N973" s="16"/>
    </row>
    <row r="974" spans="1:14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6"/>
      <c r="L974" s="15" t="str">
        <f>IF(E974="","",IFERROR(INDEX(Aliases!$B$5:$B$80,MATCH(1,INDEX(ISNUMBER(SEARCH(Aliases!$A$5:$A$80,E974))*(Aliases!$A$5:$A$80&lt;&gt;""),0),0)),"UNMATCHED"))</f>
        <v/>
      </c>
      <c r="M974" s="16"/>
      <c r="N974" s="16"/>
    </row>
    <row r="975" spans="1:14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6"/>
      <c r="L975" s="15" t="str">
        <f>IF(E975="","",IFERROR(INDEX(Aliases!$B$5:$B$80,MATCH(1,INDEX(ISNUMBER(SEARCH(Aliases!$A$5:$A$80,E975))*(Aliases!$A$5:$A$80&lt;&gt;""),0),0)),"UNMATCHED"))</f>
        <v/>
      </c>
      <c r="M975" s="16"/>
      <c r="N975" s="16"/>
    </row>
    <row r="976" spans="1:14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6"/>
      <c r="L976" s="15" t="str">
        <f>IF(E976="","",IFERROR(INDEX(Aliases!$B$5:$B$80,MATCH(1,INDEX(ISNUMBER(SEARCH(Aliases!$A$5:$A$80,E976))*(Aliases!$A$5:$A$80&lt;&gt;""),0),0)),"UNMATCHED"))</f>
        <v/>
      </c>
      <c r="M976" s="16"/>
      <c r="N976" s="16"/>
    </row>
    <row r="977" spans="1:14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6"/>
      <c r="L977" s="15" t="str">
        <f>IF(E977="","",IFERROR(INDEX(Aliases!$B$5:$B$80,MATCH(1,INDEX(ISNUMBER(SEARCH(Aliases!$A$5:$A$80,E977))*(Aliases!$A$5:$A$80&lt;&gt;""),0),0)),"UNMATCHED"))</f>
        <v/>
      </c>
      <c r="M977" s="16"/>
      <c r="N977" s="16"/>
    </row>
    <row r="978" spans="1:14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6"/>
      <c r="L978" s="15" t="str">
        <f>IF(E978="","",IFERROR(INDEX(Aliases!$B$5:$B$80,MATCH(1,INDEX(ISNUMBER(SEARCH(Aliases!$A$5:$A$80,E978))*(Aliases!$A$5:$A$80&lt;&gt;""),0),0)),"UNMATCHED"))</f>
        <v/>
      </c>
      <c r="M978" s="16"/>
      <c r="N978" s="16"/>
    </row>
    <row r="979" spans="1:14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6"/>
      <c r="L979" s="15" t="str">
        <f>IF(E979="","",IFERROR(INDEX(Aliases!$B$5:$B$80,MATCH(1,INDEX(ISNUMBER(SEARCH(Aliases!$A$5:$A$80,E979))*(Aliases!$A$5:$A$80&lt;&gt;""),0),0)),"UNMATCHED"))</f>
        <v/>
      </c>
      <c r="M979" s="16"/>
      <c r="N979" s="16"/>
    </row>
    <row r="980" spans="1:14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6"/>
      <c r="L980" s="15" t="str">
        <f>IF(E980="","",IFERROR(INDEX(Aliases!$B$5:$B$80,MATCH(1,INDEX(ISNUMBER(SEARCH(Aliases!$A$5:$A$80,E980))*(Aliases!$A$5:$A$80&lt;&gt;""),0),0)),"UNMATCHED"))</f>
        <v/>
      </c>
      <c r="M980" s="16"/>
      <c r="N980" s="16"/>
    </row>
    <row r="981" spans="1:14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6"/>
      <c r="L981" s="15" t="str">
        <f>IF(E981="","",IFERROR(INDEX(Aliases!$B$5:$B$80,MATCH(1,INDEX(ISNUMBER(SEARCH(Aliases!$A$5:$A$80,E981))*(Aliases!$A$5:$A$80&lt;&gt;""),0),0)),"UNMATCHED"))</f>
        <v/>
      </c>
      <c r="M981" s="16"/>
      <c r="N981" s="16"/>
    </row>
    <row r="982" spans="1:14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6"/>
      <c r="L982" s="15" t="str">
        <f>IF(E982="","",IFERROR(INDEX(Aliases!$B$5:$B$80,MATCH(1,INDEX(ISNUMBER(SEARCH(Aliases!$A$5:$A$80,E982))*(Aliases!$A$5:$A$80&lt;&gt;""),0),0)),"UNMATCHED"))</f>
        <v/>
      </c>
      <c r="M982" s="16"/>
      <c r="N982" s="16"/>
    </row>
    <row r="983" spans="1:14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6"/>
      <c r="L983" s="15" t="str">
        <f>IF(E983="","",IFERROR(INDEX(Aliases!$B$5:$B$80,MATCH(1,INDEX(ISNUMBER(SEARCH(Aliases!$A$5:$A$80,E983))*(Aliases!$A$5:$A$80&lt;&gt;""),0),0)),"UNMATCHED"))</f>
        <v/>
      </c>
      <c r="M983" s="16"/>
      <c r="N983" s="16"/>
    </row>
    <row r="984" spans="1:14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6"/>
      <c r="L984" s="15" t="str">
        <f>IF(E984="","",IFERROR(INDEX(Aliases!$B$5:$B$80,MATCH(1,INDEX(ISNUMBER(SEARCH(Aliases!$A$5:$A$80,E984))*(Aliases!$A$5:$A$80&lt;&gt;""),0),0)),"UNMATCHED"))</f>
        <v/>
      </c>
      <c r="M984" s="16"/>
      <c r="N984" s="16"/>
    </row>
    <row r="985" spans="1:14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6"/>
      <c r="L985" s="15" t="str">
        <f>IF(E985="","",IFERROR(INDEX(Aliases!$B$5:$B$80,MATCH(1,INDEX(ISNUMBER(SEARCH(Aliases!$A$5:$A$80,E985))*(Aliases!$A$5:$A$80&lt;&gt;""),0),0)),"UNMATCHED"))</f>
        <v/>
      </c>
      <c r="M985" s="16"/>
      <c r="N985" s="16"/>
    </row>
    <row r="986" spans="1:14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6"/>
      <c r="L986" s="15" t="str">
        <f>IF(E986="","",IFERROR(INDEX(Aliases!$B$5:$B$80,MATCH(1,INDEX(ISNUMBER(SEARCH(Aliases!$A$5:$A$80,E986))*(Aliases!$A$5:$A$80&lt;&gt;""),0),0)),"UNMATCHED"))</f>
        <v/>
      </c>
      <c r="M986" s="16"/>
      <c r="N986" s="16"/>
    </row>
    <row r="987" spans="1:14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6"/>
      <c r="L987" s="15" t="str">
        <f>IF(E987="","",IFERROR(INDEX(Aliases!$B$5:$B$80,MATCH(1,INDEX(ISNUMBER(SEARCH(Aliases!$A$5:$A$80,E987))*(Aliases!$A$5:$A$80&lt;&gt;""),0),0)),"UNMATCHED"))</f>
        <v/>
      </c>
      <c r="M987" s="16"/>
      <c r="N987" s="16"/>
    </row>
    <row r="988" spans="1:14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6"/>
      <c r="L988" s="15" t="str">
        <f>IF(E988="","",IFERROR(INDEX(Aliases!$B$5:$B$80,MATCH(1,INDEX(ISNUMBER(SEARCH(Aliases!$A$5:$A$80,E988))*(Aliases!$A$5:$A$80&lt;&gt;""),0),0)),"UNMATCHED"))</f>
        <v/>
      </c>
      <c r="M988" s="16"/>
      <c r="N988" s="16"/>
    </row>
    <row r="989" spans="1:14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6"/>
      <c r="L989" s="15" t="str">
        <f>IF(E989="","",IFERROR(INDEX(Aliases!$B$5:$B$80,MATCH(1,INDEX(ISNUMBER(SEARCH(Aliases!$A$5:$A$80,E989))*(Aliases!$A$5:$A$80&lt;&gt;""),0),0)),"UNMATCHED"))</f>
        <v/>
      </c>
      <c r="M989" s="16"/>
      <c r="N989" s="16"/>
    </row>
    <row r="990" spans="1:14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6"/>
      <c r="L990" s="15" t="str">
        <f>IF(E990="","",IFERROR(INDEX(Aliases!$B$5:$B$80,MATCH(1,INDEX(ISNUMBER(SEARCH(Aliases!$A$5:$A$80,E990))*(Aliases!$A$5:$A$80&lt;&gt;""),0),0)),"UNMATCHED"))</f>
        <v/>
      </c>
      <c r="M990" s="16"/>
      <c r="N990" s="16"/>
    </row>
    <row r="991" spans="1:14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6"/>
      <c r="L991" s="15" t="str">
        <f>IF(E991="","",IFERROR(INDEX(Aliases!$B$5:$B$80,MATCH(1,INDEX(ISNUMBER(SEARCH(Aliases!$A$5:$A$80,E991))*(Aliases!$A$5:$A$80&lt;&gt;""),0),0)),"UNMATCHED"))</f>
        <v/>
      </c>
      <c r="M991" s="16"/>
      <c r="N991" s="16"/>
    </row>
    <row r="992" spans="1:14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6"/>
      <c r="L992" s="15" t="str">
        <f>IF(E992="","",IFERROR(INDEX(Aliases!$B$5:$B$80,MATCH(1,INDEX(ISNUMBER(SEARCH(Aliases!$A$5:$A$80,E992))*(Aliases!$A$5:$A$80&lt;&gt;""),0),0)),"UNMATCHED"))</f>
        <v/>
      </c>
      <c r="M992" s="16"/>
      <c r="N992" s="16"/>
    </row>
    <row r="993" spans="1:14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6"/>
      <c r="L993" s="15" t="str">
        <f>IF(E993="","",IFERROR(INDEX(Aliases!$B$5:$B$80,MATCH(1,INDEX(ISNUMBER(SEARCH(Aliases!$A$5:$A$80,E993))*(Aliases!$A$5:$A$80&lt;&gt;""),0),0)),"UNMATCHED"))</f>
        <v/>
      </c>
      <c r="M993" s="16"/>
      <c r="N993" s="16"/>
    </row>
    <row r="994" spans="1:14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6"/>
      <c r="L994" s="15" t="str">
        <f>IF(E994="","",IFERROR(INDEX(Aliases!$B$5:$B$80,MATCH(1,INDEX(ISNUMBER(SEARCH(Aliases!$A$5:$A$80,E994))*(Aliases!$A$5:$A$80&lt;&gt;""),0),0)),"UNMATCHED"))</f>
        <v/>
      </c>
      <c r="M994" s="16"/>
      <c r="N994" s="16"/>
    </row>
    <row r="995" spans="1:14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6"/>
      <c r="L995" s="15" t="str">
        <f>IF(E995="","",IFERROR(INDEX(Aliases!$B$5:$B$80,MATCH(1,INDEX(ISNUMBER(SEARCH(Aliases!$A$5:$A$80,E995))*(Aliases!$A$5:$A$80&lt;&gt;""),0),0)),"UNMATCHED"))</f>
        <v/>
      </c>
      <c r="M995" s="16"/>
      <c r="N995" s="16"/>
    </row>
    <row r="996" spans="1:14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6"/>
      <c r="L996" s="15" t="str">
        <f>IF(E996="","",IFERROR(INDEX(Aliases!$B$5:$B$80,MATCH(1,INDEX(ISNUMBER(SEARCH(Aliases!$A$5:$A$80,E996))*(Aliases!$A$5:$A$80&lt;&gt;""),0),0)),"UNMATCHED"))</f>
        <v/>
      </c>
      <c r="M996" s="16"/>
      <c r="N996" s="16"/>
    </row>
    <row r="997" spans="1:14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6"/>
      <c r="L997" s="15" t="str">
        <f>IF(E997="","",IFERROR(INDEX(Aliases!$B$5:$B$80,MATCH(1,INDEX(ISNUMBER(SEARCH(Aliases!$A$5:$A$80,E997))*(Aliases!$A$5:$A$80&lt;&gt;""),0),0)),"UNMATCHED"))</f>
        <v/>
      </c>
      <c r="M997" s="16"/>
      <c r="N997" s="16"/>
    </row>
    <row r="998" spans="1:14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6"/>
      <c r="L998" s="15" t="str">
        <f>IF(E998="","",IFERROR(INDEX(Aliases!$B$5:$B$80,MATCH(1,INDEX(ISNUMBER(SEARCH(Aliases!$A$5:$A$80,E998))*(Aliases!$A$5:$A$80&lt;&gt;""),0),0)),"UNMATCHED"))</f>
        <v/>
      </c>
      <c r="M998" s="16"/>
      <c r="N998" s="16"/>
    </row>
    <row r="999" spans="1:14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6"/>
      <c r="L999" s="15" t="str">
        <f>IF(E999="","",IFERROR(INDEX(Aliases!$B$5:$B$80,MATCH(1,INDEX(ISNUMBER(SEARCH(Aliases!$A$5:$A$80,E999))*(Aliases!$A$5:$A$80&lt;&gt;""),0),0)),"UNMATCHED"))</f>
        <v/>
      </c>
      <c r="M999" s="16"/>
      <c r="N999" s="16"/>
    </row>
    <row r="1000" spans="1:14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6"/>
      <c r="L1000" s="15" t="str">
        <f>IF(E1000="","",IFERROR(INDEX(Aliases!$B$5:$B$80,MATCH(1,INDEX(ISNUMBER(SEARCH(Aliases!$A$5:$A$80,E1000))*(Aliases!$A$5:$A$80&lt;&gt;""),0),0)),"UNMATCHED"))</f>
        <v/>
      </c>
      <c r="M1000" s="16"/>
      <c r="N1000" s="16"/>
    </row>
    <row r="1001" spans="1:14" x14ac:dyDescent="0.3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6"/>
      <c r="L1001" s="15" t="str">
        <f>IF(E1001="","",IFERROR(INDEX(Aliases!$B$5:$B$80,MATCH(1,INDEX(ISNUMBER(SEARCH(Aliases!$A$5:$A$80,E1001))*(Aliases!$A$5:$A$80&lt;&gt;""),0),0)),"UNMATCHED"))</f>
        <v/>
      </c>
      <c r="M1001" s="16"/>
      <c r="N1001" s="16"/>
    </row>
    <row r="1002" spans="1:14" x14ac:dyDescent="0.3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6"/>
      <c r="L1002" s="15" t="str">
        <f>IF(E1002="","",IFERROR(INDEX(Aliases!$B$5:$B$80,MATCH(1,INDEX(ISNUMBER(SEARCH(Aliases!$A$5:$A$80,E1002))*(Aliases!$A$5:$A$80&lt;&gt;""),0),0)),"UNMATCHED"))</f>
        <v/>
      </c>
      <c r="M1002" s="16"/>
      <c r="N1002" s="16"/>
    </row>
    <row r="1003" spans="1:14" x14ac:dyDescent="0.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6"/>
      <c r="L1003" s="15" t="str">
        <f>IF(E1003="","",IFERROR(INDEX(Aliases!$B$5:$B$80,MATCH(1,INDEX(ISNUMBER(SEARCH(Aliases!$A$5:$A$80,E1003))*(Aliases!$A$5:$A$80&lt;&gt;""),0),0)),"UNMATCHED"))</f>
        <v/>
      </c>
      <c r="M1003" s="16"/>
      <c r="N1003" s="16"/>
    </row>
    <row r="1004" spans="1:14" x14ac:dyDescent="0.3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6"/>
      <c r="L1004" s="15" t="str">
        <f>IF(E1004="","",IFERROR(INDEX(Aliases!$B$5:$B$80,MATCH(1,INDEX(ISNUMBER(SEARCH(Aliases!$A$5:$A$80,E1004))*(Aliases!$A$5:$A$80&lt;&gt;""),0),0)),"UNMATCHED"))</f>
        <v/>
      </c>
      <c r="M1004" s="16"/>
      <c r="N1004" s="16"/>
    </row>
    <row r="1005" spans="1:14" x14ac:dyDescent="0.3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6"/>
      <c r="L1005" s="15" t="str">
        <f>IF(E1005="","",IFERROR(INDEX(Aliases!$B$5:$B$80,MATCH(1,INDEX(ISNUMBER(SEARCH(Aliases!$A$5:$A$80,E1005))*(Aliases!$A$5:$A$80&lt;&gt;""),0),0)),"UNMATCHED"))</f>
        <v/>
      </c>
      <c r="M1005" s="16"/>
      <c r="N1005" s="16"/>
    </row>
    <row r="1006" spans="1:14" x14ac:dyDescent="0.3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6"/>
      <c r="L1006" s="15" t="str">
        <f>IF(E1006="","",IFERROR(INDEX(Aliases!$B$5:$B$80,MATCH(1,INDEX(ISNUMBER(SEARCH(Aliases!$A$5:$A$80,E1006))*(Aliases!$A$5:$A$80&lt;&gt;""),0),0)),"UNMATCHED"))</f>
        <v/>
      </c>
      <c r="M1006" s="16"/>
      <c r="N1006" s="16"/>
    </row>
    <row r="1007" spans="1:14" x14ac:dyDescent="0.3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6"/>
      <c r="L1007" s="15" t="str">
        <f>IF(E1007="","",IFERROR(INDEX(Aliases!$B$5:$B$80,MATCH(1,INDEX(ISNUMBER(SEARCH(Aliases!$A$5:$A$80,E1007))*(Aliases!$A$5:$A$80&lt;&gt;""),0),0)),"UNMATCHED"))</f>
        <v/>
      </c>
      <c r="M1007" s="16"/>
      <c r="N1007" s="16"/>
    </row>
    <row r="1008" spans="1:14" x14ac:dyDescent="0.3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6"/>
      <c r="L1008" s="15" t="str">
        <f>IF(E1008="","",IFERROR(INDEX(Aliases!$B$5:$B$80,MATCH(1,INDEX(ISNUMBER(SEARCH(Aliases!$A$5:$A$80,E1008))*(Aliases!$A$5:$A$80&lt;&gt;""),0),0)),"UNMATCHED"))</f>
        <v/>
      </c>
      <c r="M1008" s="16"/>
      <c r="N1008" s="16"/>
    </row>
    <row r="1009" spans="1:14" x14ac:dyDescent="0.3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6"/>
      <c r="L1009" s="15" t="str">
        <f>IF(E1009="","",IFERROR(INDEX(Aliases!$B$5:$B$80,MATCH(1,INDEX(ISNUMBER(SEARCH(Aliases!$A$5:$A$80,E1009))*(Aliases!$A$5:$A$80&lt;&gt;""),0),0)),"UNMATCHED"))</f>
        <v/>
      </c>
      <c r="M1009" s="16"/>
      <c r="N1009" s="16"/>
    </row>
    <row r="1010" spans="1:14" x14ac:dyDescent="0.3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6"/>
      <c r="L1010" s="15" t="str">
        <f>IF(E1010="","",IFERROR(INDEX(Aliases!$B$5:$B$80,MATCH(1,INDEX(ISNUMBER(SEARCH(Aliases!$A$5:$A$80,E1010))*(Aliases!$A$5:$A$80&lt;&gt;""),0),0)),"UNMATCHED"))</f>
        <v/>
      </c>
      <c r="M1010" s="16"/>
      <c r="N1010" s="16"/>
    </row>
    <row r="1011" spans="1:14" x14ac:dyDescent="0.3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6"/>
      <c r="L1011" s="15" t="str">
        <f>IF(E1011="","",IFERROR(INDEX(Aliases!$B$5:$B$80,MATCH(1,INDEX(ISNUMBER(SEARCH(Aliases!$A$5:$A$80,E1011))*(Aliases!$A$5:$A$80&lt;&gt;""),0),0)),"UNMATCHED"))</f>
        <v/>
      </c>
      <c r="M1011" s="16"/>
      <c r="N1011" s="16"/>
    </row>
    <row r="1012" spans="1:14" x14ac:dyDescent="0.3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6"/>
      <c r="L1012" s="15" t="str">
        <f>IF(E1012="","",IFERROR(INDEX(Aliases!$B$5:$B$80,MATCH(1,INDEX(ISNUMBER(SEARCH(Aliases!$A$5:$A$80,E1012))*(Aliases!$A$5:$A$80&lt;&gt;""),0),0)),"UNMATCHED"))</f>
        <v/>
      </c>
      <c r="M1012" s="16"/>
      <c r="N1012" s="16"/>
    </row>
    <row r="1013" spans="1:14" x14ac:dyDescent="0.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6"/>
      <c r="L1013" s="15" t="str">
        <f>IF(E1013="","",IFERROR(INDEX(Aliases!$B$5:$B$80,MATCH(1,INDEX(ISNUMBER(SEARCH(Aliases!$A$5:$A$80,E1013))*(Aliases!$A$5:$A$80&lt;&gt;""),0),0)),"UNMATCHED"))</f>
        <v/>
      </c>
      <c r="M1013" s="16"/>
      <c r="N1013" s="16"/>
    </row>
    <row r="1014" spans="1:14" x14ac:dyDescent="0.3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6"/>
      <c r="L1014" s="15" t="str">
        <f>IF(E1014="","",IFERROR(INDEX(Aliases!$B$5:$B$80,MATCH(1,INDEX(ISNUMBER(SEARCH(Aliases!$A$5:$A$80,E1014))*(Aliases!$A$5:$A$80&lt;&gt;""),0),0)),"UNMATCHED"))</f>
        <v/>
      </c>
      <c r="M1014" s="16"/>
      <c r="N1014" s="16"/>
    </row>
    <row r="1015" spans="1:14" x14ac:dyDescent="0.3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6"/>
      <c r="L1015" s="15" t="str">
        <f>IF(E1015="","",IFERROR(INDEX(Aliases!$B$5:$B$80,MATCH(1,INDEX(ISNUMBER(SEARCH(Aliases!$A$5:$A$80,E1015))*(Aliases!$A$5:$A$80&lt;&gt;""),0),0)),"UNMATCHED"))</f>
        <v/>
      </c>
      <c r="M1015" s="16"/>
      <c r="N1015" s="16"/>
    </row>
    <row r="1016" spans="1:14" x14ac:dyDescent="0.3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6"/>
      <c r="L1016" s="15" t="str">
        <f>IF(E1016="","",IFERROR(INDEX(Aliases!$B$5:$B$80,MATCH(1,INDEX(ISNUMBER(SEARCH(Aliases!$A$5:$A$80,E1016))*(Aliases!$A$5:$A$80&lt;&gt;""),0),0)),"UNMATCHED"))</f>
        <v/>
      </c>
      <c r="M1016" s="16"/>
      <c r="N1016" s="16"/>
    </row>
    <row r="1017" spans="1:14" x14ac:dyDescent="0.3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6"/>
      <c r="L1017" s="15" t="str">
        <f>IF(E1017="","",IFERROR(INDEX(Aliases!$B$5:$B$80,MATCH(1,INDEX(ISNUMBER(SEARCH(Aliases!$A$5:$A$80,E1017))*(Aliases!$A$5:$A$80&lt;&gt;""),0),0)),"UNMATCHED"))</f>
        <v/>
      </c>
      <c r="M1017" s="16"/>
      <c r="N1017" s="16"/>
    </row>
    <row r="1018" spans="1:14" x14ac:dyDescent="0.3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6"/>
      <c r="L1018" s="15" t="str">
        <f>IF(E1018="","",IFERROR(INDEX(Aliases!$B$5:$B$80,MATCH(1,INDEX(ISNUMBER(SEARCH(Aliases!$A$5:$A$80,E1018))*(Aliases!$A$5:$A$80&lt;&gt;""),0),0)),"UNMATCHED"))</f>
        <v/>
      </c>
      <c r="M1018" s="16"/>
      <c r="N1018" s="16"/>
    </row>
    <row r="1019" spans="1:14" x14ac:dyDescent="0.3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6"/>
      <c r="L1019" s="15" t="str">
        <f>IF(E1019="","",IFERROR(INDEX(Aliases!$B$5:$B$80,MATCH(1,INDEX(ISNUMBER(SEARCH(Aliases!$A$5:$A$80,E1019))*(Aliases!$A$5:$A$80&lt;&gt;""),0),0)),"UNMATCHED"))</f>
        <v/>
      </c>
      <c r="M1019" s="16"/>
      <c r="N1019" s="16"/>
    </row>
    <row r="1020" spans="1:14" x14ac:dyDescent="0.3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6"/>
      <c r="L1020" s="15" t="str">
        <f>IF(E1020="","",IFERROR(INDEX(Aliases!$B$5:$B$80,MATCH(1,INDEX(ISNUMBER(SEARCH(Aliases!$A$5:$A$80,E1020))*(Aliases!$A$5:$A$80&lt;&gt;""),0),0)),"UNMATCHED"))</f>
        <v/>
      </c>
      <c r="M1020" s="16"/>
      <c r="N1020" s="16"/>
    </row>
    <row r="1021" spans="1:14" x14ac:dyDescent="0.3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6"/>
      <c r="L1021" s="15" t="str">
        <f>IF(E1021="","",IFERROR(INDEX(Aliases!$B$5:$B$80,MATCH(1,INDEX(ISNUMBER(SEARCH(Aliases!$A$5:$A$80,E1021))*(Aliases!$A$5:$A$80&lt;&gt;""),0),0)),"UNMATCHED"))</f>
        <v/>
      </c>
      <c r="M1021" s="16"/>
      <c r="N1021" s="16"/>
    </row>
    <row r="1022" spans="1:14" x14ac:dyDescent="0.3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6"/>
      <c r="L1022" s="15" t="str">
        <f>IF(E1022="","",IFERROR(INDEX(Aliases!$B$5:$B$80,MATCH(1,INDEX(ISNUMBER(SEARCH(Aliases!$A$5:$A$80,E1022))*(Aliases!$A$5:$A$80&lt;&gt;""),0),0)),"UNMATCHED"))</f>
        <v/>
      </c>
      <c r="M1022" s="16"/>
      <c r="N1022" s="16"/>
    </row>
    <row r="1023" spans="1:14" x14ac:dyDescent="0.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6"/>
      <c r="L1023" s="15" t="str">
        <f>IF(E1023="","",IFERROR(INDEX(Aliases!$B$5:$B$80,MATCH(1,INDEX(ISNUMBER(SEARCH(Aliases!$A$5:$A$80,E1023))*(Aliases!$A$5:$A$80&lt;&gt;""),0),0)),"UNMATCHED"))</f>
        <v/>
      </c>
      <c r="M1023" s="16"/>
      <c r="N1023" s="16"/>
    </row>
    <row r="1024" spans="1:14" x14ac:dyDescent="0.3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6"/>
      <c r="L1024" s="15" t="str">
        <f>IF(E1024="","",IFERROR(INDEX(Aliases!$B$5:$B$80,MATCH(1,INDEX(ISNUMBER(SEARCH(Aliases!$A$5:$A$80,E1024))*(Aliases!$A$5:$A$80&lt;&gt;""),0),0)),"UNMATCHED"))</f>
        <v/>
      </c>
      <c r="M1024" s="16"/>
      <c r="N1024" s="16"/>
    </row>
    <row r="1025" spans="1:14" x14ac:dyDescent="0.3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6"/>
      <c r="L1025" s="15" t="str">
        <f>IF(E1025="","",IFERROR(INDEX(Aliases!$B$5:$B$80,MATCH(1,INDEX(ISNUMBER(SEARCH(Aliases!$A$5:$A$80,E1025))*(Aliases!$A$5:$A$80&lt;&gt;""),0),0)),"UNMATCHED"))</f>
        <v/>
      </c>
      <c r="M1025" s="16"/>
      <c r="N1025" s="16"/>
    </row>
    <row r="1026" spans="1:14" x14ac:dyDescent="0.3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6"/>
      <c r="L1026" s="15" t="str">
        <f>IF(E1026="","",IFERROR(INDEX(Aliases!$B$5:$B$80,MATCH(1,INDEX(ISNUMBER(SEARCH(Aliases!$A$5:$A$80,E1026))*(Aliases!$A$5:$A$80&lt;&gt;""),0),0)),"UNMATCHED"))</f>
        <v/>
      </c>
      <c r="M1026" s="16"/>
      <c r="N1026" s="16"/>
    </row>
    <row r="1027" spans="1:14" x14ac:dyDescent="0.3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6"/>
      <c r="L1027" s="15" t="str">
        <f>IF(E1027="","",IFERROR(INDEX(Aliases!$B$5:$B$80,MATCH(1,INDEX(ISNUMBER(SEARCH(Aliases!$A$5:$A$80,E1027))*(Aliases!$A$5:$A$80&lt;&gt;""),0),0)),"UNMATCHED"))</f>
        <v/>
      </c>
      <c r="M1027" s="16"/>
      <c r="N1027" s="16"/>
    </row>
    <row r="1028" spans="1:14" x14ac:dyDescent="0.3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6"/>
      <c r="L1028" s="15" t="str">
        <f>IF(E1028="","",IFERROR(INDEX(Aliases!$B$5:$B$80,MATCH(1,INDEX(ISNUMBER(SEARCH(Aliases!$A$5:$A$80,E1028))*(Aliases!$A$5:$A$80&lt;&gt;""),0),0)),"UNMATCHED"))</f>
        <v/>
      </c>
      <c r="M1028" s="16"/>
      <c r="N1028" s="16"/>
    </row>
    <row r="1029" spans="1:14" x14ac:dyDescent="0.3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6"/>
      <c r="L1029" s="15" t="str">
        <f>IF(E1029="","",IFERROR(INDEX(Aliases!$B$5:$B$80,MATCH(1,INDEX(ISNUMBER(SEARCH(Aliases!$A$5:$A$80,E1029))*(Aliases!$A$5:$A$80&lt;&gt;""),0),0)),"UNMATCHED"))</f>
        <v/>
      </c>
      <c r="M1029" s="16"/>
      <c r="N1029" s="16"/>
    </row>
    <row r="1030" spans="1:14" x14ac:dyDescent="0.3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6"/>
      <c r="L1030" s="15" t="str">
        <f>IF(E1030="","",IFERROR(INDEX(Aliases!$B$5:$B$80,MATCH(1,INDEX(ISNUMBER(SEARCH(Aliases!$A$5:$A$80,E1030))*(Aliases!$A$5:$A$80&lt;&gt;""),0),0)),"UNMATCHED"))</f>
        <v/>
      </c>
      <c r="M1030" s="16"/>
      <c r="N1030" s="16"/>
    </row>
    <row r="1031" spans="1:14" x14ac:dyDescent="0.3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6"/>
      <c r="L1031" s="15" t="str">
        <f>IF(E1031="","",IFERROR(INDEX(Aliases!$B$5:$B$80,MATCH(1,INDEX(ISNUMBER(SEARCH(Aliases!$A$5:$A$80,E1031))*(Aliases!$A$5:$A$80&lt;&gt;""),0),0)),"UNMATCHED"))</f>
        <v/>
      </c>
      <c r="M1031" s="16"/>
      <c r="N1031" s="16"/>
    </row>
    <row r="1032" spans="1:14" x14ac:dyDescent="0.3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6"/>
      <c r="L1032" s="15" t="str">
        <f>IF(E1032="","",IFERROR(INDEX(Aliases!$B$5:$B$80,MATCH(1,INDEX(ISNUMBER(SEARCH(Aliases!$A$5:$A$80,E1032))*(Aliases!$A$5:$A$80&lt;&gt;""),0),0)),"UNMATCHED"))</f>
        <v/>
      </c>
      <c r="M1032" s="16"/>
      <c r="N1032" s="16"/>
    </row>
    <row r="1033" spans="1:14" x14ac:dyDescent="0.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6"/>
      <c r="L1033" s="15" t="str">
        <f>IF(E1033="","",IFERROR(INDEX(Aliases!$B$5:$B$80,MATCH(1,INDEX(ISNUMBER(SEARCH(Aliases!$A$5:$A$80,E1033))*(Aliases!$A$5:$A$80&lt;&gt;""),0),0)),"UNMATCHED"))</f>
        <v/>
      </c>
      <c r="M1033" s="16"/>
      <c r="N1033" s="16"/>
    </row>
    <row r="1034" spans="1:14" x14ac:dyDescent="0.3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6"/>
      <c r="L1034" s="15" t="str">
        <f>IF(E1034="","",IFERROR(INDEX(Aliases!$B$5:$B$80,MATCH(1,INDEX(ISNUMBER(SEARCH(Aliases!$A$5:$A$80,E1034))*(Aliases!$A$5:$A$80&lt;&gt;""),0),0)),"UNMATCHED"))</f>
        <v/>
      </c>
      <c r="M1034" s="16"/>
      <c r="N1034" s="16"/>
    </row>
    <row r="1035" spans="1:14" x14ac:dyDescent="0.3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6"/>
      <c r="L1035" s="15" t="str">
        <f>IF(E1035="","",IFERROR(INDEX(Aliases!$B$5:$B$80,MATCH(1,INDEX(ISNUMBER(SEARCH(Aliases!$A$5:$A$80,E1035))*(Aliases!$A$5:$A$80&lt;&gt;""),0),0)),"UNMATCHED"))</f>
        <v/>
      </c>
      <c r="M1035" s="16"/>
      <c r="N1035" s="16"/>
    </row>
    <row r="1036" spans="1:14" x14ac:dyDescent="0.3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6"/>
      <c r="L1036" s="15" t="str">
        <f>IF(E1036="","",IFERROR(INDEX(Aliases!$B$5:$B$80,MATCH(1,INDEX(ISNUMBER(SEARCH(Aliases!$A$5:$A$80,E1036))*(Aliases!$A$5:$A$80&lt;&gt;""),0),0)),"UNMATCHED"))</f>
        <v/>
      </c>
      <c r="M1036" s="16"/>
      <c r="N1036" s="16"/>
    </row>
    <row r="1037" spans="1:14" x14ac:dyDescent="0.3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6"/>
      <c r="L1037" s="15" t="str">
        <f>IF(E1037="","",IFERROR(INDEX(Aliases!$B$5:$B$80,MATCH(1,INDEX(ISNUMBER(SEARCH(Aliases!$A$5:$A$80,E1037))*(Aliases!$A$5:$A$80&lt;&gt;""),0),0)),"UNMATCHED"))</f>
        <v/>
      </c>
      <c r="M1037" s="16"/>
      <c r="N1037" s="16"/>
    </row>
    <row r="1038" spans="1:14" x14ac:dyDescent="0.3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6"/>
      <c r="L1038" s="15" t="str">
        <f>IF(E1038="","",IFERROR(INDEX(Aliases!$B$5:$B$80,MATCH(1,INDEX(ISNUMBER(SEARCH(Aliases!$A$5:$A$80,E1038))*(Aliases!$A$5:$A$80&lt;&gt;""),0),0)),"UNMATCHED"))</f>
        <v/>
      </c>
      <c r="M1038" s="16"/>
      <c r="N1038" s="16"/>
    </row>
    <row r="1039" spans="1:14" x14ac:dyDescent="0.3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6"/>
      <c r="L1039" s="15" t="str">
        <f>IF(E1039="","",IFERROR(INDEX(Aliases!$B$5:$B$80,MATCH(1,INDEX(ISNUMBER(SEARCH(Aliases!$A$5:$A$80,E1039))*(Aliases!$A$5:$A$80&lt;&gt;""),0),0)),"UNMATCHED"))</f>
        <v/>
      </c>
      <c r="M1039" s="16"/>
      <c r="N1039" s="16"/>
    </row>
    <row r="1040" spans="1:14" x14ac:dyDescent="0.3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6"/>
      <c r="L1040" s="15" t="str">
        <f>IF(E1040="","",IFERROR(INDEX(Aliases!$B$5:$B$80,MATCH(1,INDEX(ISNUMBER(SEARCH(Aliases!$A$5:$A$80,E1040))*(Aliases!$A$5:$A$80&lt;&gt;""),0),0)),"UNMATCHED"))</f>
        <v/>
      </c>
      <c r="M1040" s="16"/>
      <c r="N1040" s="16"/>
    </row>
    <row r="1041" spans="1:14" x14ac:dyDescent="0.3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6"/>
      <c r="L1041" s="15" t="str">
        <f>IF(E1041="","",IFERROR(INDEX(Aliases!$B$5:$B$80,MATCH(1,INDEX(ISNUMBER(SEARCH(Aliases!$A$5:$A$80,E1041))*(Aliases!$A$5:$A$80&lt;&gt;""),0),0)),"UNMATCHED"))</f>
        <v/>
      </c>
      <c r="M1041" s="16"/>
      <c r="N1041" s="16"/>
    </row>
    <row r="1042" spans="1:14" x14ac:dyDescent="0.3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6"/>
      <c r="L1042" s="15" t="str">
        <f>IF(E1042="","",IFERROR(INDEX(Aliases!$B$5:$B$80,MATCH(1,INDEX(ISNUMBER(SEARCH(Aliases!$A$5:$A$80,E1042))*(Aliases!$A$5:$A$80&lt;&gt;""),0),0)),"UNMATCHED"))</f>
        <v/>
      </c>
      <c r="M1042" s="16"/>
      <c r="N1042" s="16"/>
    </row>
    <row r="1043" spans="1:14" x14ac:dyDescent="0.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6"/>
      <c r="L1043" s="15" t="str">
        <f>IF(E1043="","",IFERROR(INDEX(Aliases!$B$5:$B$80,MATCH(1,INDEX(ISNUMBER(SEARCH(Aliases!$A$5:$A$80,E1043))*(Aliases!$A$5:$A$80&lt;&gt;""),0),0)),"UNMATCHED"))</f>
        <v/>
      </c>
      <c r="M1043" s="16"/>
      <c r="N1043" s="16"/>
    </row>
    <row r="1044" spans="1:14" x14ac:dyDescent="0.3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6"/>
      <c r="L1044" s="15" t="str">
        <f>IF(E1044="","",IFERROR(INDEX(Aliases!$B$5:$B$80,MATCH(1,INDEX(ISNUMBER(SEARCH(Aliases!$A$5:$A$80,E1044))*(Aliases!$A$5:$A$80&lt;&gt;""),0),0)),"UNMATCHED"))</f>
        <v/>
      </c>
      <c r="M1044" s="16"/>
      <c r="N1044" s="16"/>
    </row>
    <row r="1045" spans="1:14" x14ac:dyDescent="0.3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6"/>
      <c r="L1045" s="15" t="str">
        <f>IF(E1045="","",IFERROR(INDEX(Aliases!$B$5:$B$80,MATCH(1,INDEX(ISNUMBER(SEARCH(Aliases!$A$5:$A$80,E1045))*(Aliases!$A$5:$A$80&lt;&gt;""),0),0)),"UNMATCHED"))</f>
        <v/>
      </c>
      <c r="M1045" s="16"/>
      <c r="N1045" s="16"/>
    </row>
    <row r="1046" spans="1:14" x14ac:dyDescent="0.3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6"/>
      <c r="L1046" s="15" t="str">
        <f>IF(E1046="","",IFERROR(INDEX(Aliases!$B$5:$B$80,MATCH(1,INDEX(ISNUMBER(SEARCH(Aliases!$A$5:$A$80,E1046))*(Aliases!$A$5:$A$80&lt;&gt;""),0),0)),"UNMATCHED"))</f>
        <v/>
      </c>
      <c r="M1046" s="16"/>
      <c r="N1046" s="16"/>
    </row>
    <row r="1047" spans="1:14" x14ac:dyDescent="0.3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6"/>
      <c r="L1047" s="15" t="str">
        <f>IF(E1047="","",IFERROR(INDEX(Aliases!$B$5:$B$80,MATCH(1,INDEX(ISNUMBER(SEARCH(Aliases!$A$5:$A$80,E1047))*(Aliases!$A$5:$A$80&lt;&gt;""),0),0)),"UNMATCHED"))</f>
        <v/>
      </c>
      <c r="M1047" s="16"/>
      <c r="N1047" s="16"/>
    </row>
    <row r="1048" spans="1:14" x14ac:dyDescent="0.3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6"/>
      <c r="L1048" s="15" t="str">
        <f>IF(E1048="","",IFERROR(INDEX(Aliases!$B$5:$B$80,MATCH(1,INDEX(ISNUMBER(SEARCH(Aliases!$A$5:$A$80,E1048))*(Aliases!$A$5:$A$80&lt;&gt;""),0),0)),"UNMATCHED"))</f>
        <v/>
      </c>
      <c r="M1048" s="16"/>
      <c r="N1048" s="16"/>
    </row>
    <row r="1049" spans="1:14" x14ac:dyDescent="0.3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6"/>
      <c r="L1049" s="15" t="str">
        <f>IF(E1049="","",IFERROR(INDEX(Aliases!$B$5:$B$80,MATCH(1,INDEX(ISNUMBER(SEARCH(Aliases!$A$5:$A$80,E1049))*(Aliases!$A$5:$A$80&lt;&gt;""),0),0)),"UNMATCHED"))</f>
        <v/>
      </c>
      <c r="M1049" s="16"/>
      <c r="N1049" s="16"/>
    </row>
    <row r="1050" spans="1:14" x14ac:dyDescent="0.3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6"/>
      <c r="L1050" s="15" t="str">
        <f>IF(E1050="","",IFERROR(INDEX(Aliases!$B$5:$B$80,MATCH(1,INDEX(ISNUMBER(SEARCH(Aliases!$A$5:$A$80,E1050))*(Aliases!$A$5:$A$80&lt;&gt;""),0),0)),"UNMATCHED"))</f>
        <v/>
      </c>
      <c r="M1050" s="16"/>
      <c r="N1050" s="16"/>
    </row>
    <row r="1051" spans="1:14" x14ac:dyDescent="0.3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6"/>
      <c r="L1051" s="15" t="str">
        <f>IF(E1051="","",IFERROR(INDEX(Aliases!$B$5:$B$80,MATCH(1,INDEX(ISNUMBER(SEARCH(Aliases!$A$5:$A$80,E1051))*(Aliases!$A$5:$A$80&lt;&gt;""),0),0)),"UNMATCHED"))</f>
        <v/>
      </c>
      <c r="M1051" s="16"/>
      <c r="N1051" s="16"/>
    </row>
    <row r="1052" spans="1:14" x14ac:dyDescent="0.3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6"/>
      <c r="L1052" s="15" t="str">
        <f>IF(E1052="","",IFERROR(INDEX(Aliases!$B$5:$B$80,MATCH(1,INDEX(ISNUMBER(SEARCH(Aliases!$A$5:$A$80,E1052))*(Aliases!$A$5:$A$80&lt;&gt;""),0),0)),"UNMATCHED"))</f>
        <v/>
      </c>
      <c r="M1052" s="16"/>
      <c r="N1052" s="16"/>
    </row>
    <row r="1053" spans="1:14" x14ac:dyDescent="0.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6"/>
      <c r="L1053" s="15" t="str">
        <f>IF(E1053="","",IFERROR(INDEX(Aliases!$B$5:$B$80,MATCH(1,INDEX(ISNUMBER(SEARCH(Aliases!$A$5:$A$80,E1053))*(Aliases!$A$5:$A$80&lt;&gt;""),0),0)),"UNMATCHED"))</f>
        <v/>
      </c>
      <c r="M1053" s="16"/>
      <c r="N1053" s="16"/>
    </row>
    <row r="1054" spans="1:14" x14ac:dyDescent="0.3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6"/>
      <c r="L1054" s="15" t="str">
        <f>IF(E1054="","",IFERROR(INDEX(Aliases!$B$5:$B$80,MATCH(1,INDEX(ISNUMBER(SEARCH(Aliases!$A$5:$A$80,E1054))*(Aliases!$A$5:$A$80&lt;&gt;""),0),0)),"UNMATCHED"))</f>
        <v/>
      </c>
      <c r="M1054" s="16"/>
      <c r="N1054" s="16"/>
    </row>
    <row r="1055" spans="1:14" x14ac:dyDescent="0.3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6"/>
      <c r="L1055" s="15" t="str">
        <f>IF(E1055="","",IFERROR(INDEX(Aliases!$B$5:$B$80,MATCH(1,INDEX(ISNUMBER(SEARCH(Aliases!$A$5:$A$80,E1055))*(Aliases!$A$5:$A$80&lt;&gt;""),0),0)),"UNMATCHED"))</f>
        <v/>
      </c>
      <c r="M1055" s="16"/>
      <c r="N1055" s="16"/>
    </row>
    <row r="1056" spans="1:14" x14ac:dyDescent="0.3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6"/>
      <c r="L1056" s="15" t="str">
        <f>IF(E1056="","",IFERROR(INDEX(Aliases!$B$5:$B$80,MATCH(1,INDEX(ISNUMBER(SEARCH(Aliases!$A$5:$A$80,E1056))*(Aliases!$A$5:$A$80&lt;&gt;""),0),0)),"UNMATCHED"))</f>
        <v/>
      </c>
      <c r="M1056" s="16"/>
      <c r="N1056" s="16"/>
    </row>
    <row r="1057" spans="1:14" x14ac:dyDescent="0.3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6"/>
      <c r="L1057" s="15" t="str">
        <f>IF(E1057="","",IFERROR(INDEX(Aliases!$B$5:$B$80,MATCH(1,INDEX(ISNUMBER(SEARCH(Aliases!$A$5:$A$80,E1057))*(Aliases!$A$5:$A$80&lt;&gt;""),0),0)),"UNMATCHED"))</f>
        <v/>
      </c>
      <c r="M1057" s="16"/>
      <c r="N1057" s="16"/>
    </row>
    <row r="1058" spans="1:14" x14ac:dyDescent="0.3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6"/>
      <c r="L1058" s="15" t="str">
        <f>IF(E1058="","",IFERROR(INDEX(Aliases!$B$5:$B$80,MATCH(1,INDEX(ISNUMBER(SEARCH(Aliases!$A$5:$A$80,E1058))*(Aliases!$A$5:$A$80&lt;&gt;""),0),0)),"UNMATCHED"))</f>
        <v/>
      </c>
      <c r="M1058" s="16"/>
      <c r="N1058" s="16"/>
    </row>
    <row r="1059" spans="1:14" x14ac:dyDescent="0.3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6"/>
      <c r="L1059" s="15" t="str">
        <f>IF(E1059="","",IFERROR(INDEX(Aliases!$B$5:$B$80,MATCH(1,INDEX(ISNUMBER(SEARCH(Aliases!$A$5:$A$80,E1059))*(Aliases!$A$5:$A$80&lt;&gt;""),0),0)),"UNMATCHED"))</f>
        <v/>
      </c>
      <c r="M1059" s="16"/>
      <c r="N1059" s="16"/>
    </row>
    <row r="1060" spans="1:14" x14ac:dyDescent="0.3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6"/>
      <c r="L1060" s="15" t="str">
        <f>IF(E1060="","",IFERROR(INDEX(Aliases!$B$5:$B$80,MATCH(1,INDEX(ISNUMBER(SEARCH(Aliases!$A$5:$A$80,E1060))*(Aliases!$A$5:$A$80&lt;&gt;""),0),0)),"UNMATCHED"))</f>
        <v/>
      </c>
      <c r="M1060" s="16"/>
      <c r="N1060" s="16"/>
    </row>
    <row r="1061" spans="1:14" x14ac:dyDescent="0.3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6"/>
      <c r="L1061" s="15" t="str">
        <f>IF(E1061="","",IFERROR(INDEX(Aliases!$B$5:$B$80,MATCH(1,INDEX(ISNUMBER(SEARCH(Aliases!$A$5:$A$80,E1061))*(Aliases!$A$5:$A$80&lt;&gt;""),0),0)),"UNMATCHED"))</f>
        <v/>
      </c>
      <c r="M1061" s="16"/>
      <c r="N1061" s="16"/>
    </row>
    <row r="1062" spans="1:14" x14ac:dyDescent="0.3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6"/>
      <c r="L1062" s="15" t="str">
        <f>IF(E1062="","",IFERROR(INDEX(Aliases!$B$5:$B$80,MATCH(1,INDEX(ISNUMBER(SEARCH(Aliases!$A$5:$A$80,E1062))*(Aliases!$A$5:$A$80&lt;&gt;""),0),0)),"UNMATCHED"))</f>
        <v/>
      </c>
      <c r="M1062" s="16"/>
      <c r="N1062" s="16"/>
    </row>
    <row r="1063" spans="1:14" x14ac:dyDescent="0.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6"/>
      <c r="L1063" s="15" t="str">
        <f>IF(E1063="","",IFERROR(INDEX(Aliases!$B$5:$B$80,MATCH(1,INDEX(ISNUMBER(SEARCH(Aliases!$A$5:$A$80,E1063))*(Aliases!$A$5:$A$80&lt;&gt;""),0),0)),"UNMATCHED"))</f>
        <v/>
      </c>
      <c r="M1063" s="16"/>
      <c r="N1063" s="16"/>
    </row>
    <row r="1064" spans="1:14" x14ac:dyDescent="0.3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6"/>
      <c r="L1064" s="15" t="str">
        <f>IF(E1064="","",IFERROR(INDEX(Aliases!$B$5:$B$80,MATCH(1,INDEX(ISNUMBER(SEARCH(Aliases!$A$5:$A$80,E1064))*(Aliases!$A$5:$A$80&lt;&gt;""),0),0)),"UNMATCHED"))</f>
        <v/>
      </c>
      <c r="M1064" s="16"/>
      <c r="N1064" s="16"/>
    </row>
    <row r="1065" spans="1:14" x14ac:dyDescent="0.3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6"/>
      <c r="L1065" s="15" t="str">
        <f>IF(E1065="","",IFERROR(INDEX(Aliases!$B$5:$B$80,MATCH(1,INDEX(ISNUMBER(SEARCH(Aliases!$A$5:$A$80,E1065))*(Aliases!$A$5:$A$80&lt;&gt;""),0),0)),"UNMATCHED"))</f>
        <v/>
      </c>
      <c r="M1065" s="16"/>
      <c r="N1065" s="16"/>
    </row>
    <row r="1066" spans="1:14" x14ac:dyDescent="0.3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6"/>
      <c r="L1066" s="15" t="str">
        <f>IF(E1066="","",IFERROR(INDEX(Aliases!$B$5:$B$80,MATCH(1,INDEX(ISNUMBER(SEARCH(Aliases!$A$5:$A$80,E1066))*(Aliases!$A$5:$A$80&lt;&gt;""),0),0)),"UNMATCHED"))</f>
        <v/>
      </c>
      <c r="M1066" s="16"/>
      <c r="N1066" s="16"/>
    </row>
    <row r="1067" spans="1:14" x14ac:dyDescent="0.3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6"/>
      <c r="L1067" s="15" t="str">
        <f>IF(E1067="","",IFERROR(INDEX(Aliases!$B$5:$B$80,MATCH(1,INDEX(ISNUMBER(SEARCH(Aliases!$A$5:$A$80,E1067))*(Aliases!$A$5:$A$80&lt;&gt;""),0),0)),"UNMATCHED"))</f>
        <v/>
      </c>
      <c r="M1067" s="16"/>
      <c r="N1067" s="16"/>
    </row>
    <row r="1068" spans="1:14" x14ac:dyDescent="0.3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6"/>
      <c r="L1068" s="15" t="str">
        <f>IF(E1068="","",IFERROR(INDEX(Aliases!$B$5:$B$80,MATCH(1,INDEX(ISNUMBER(SEARCH(Aliases!$A$5:$A$80,E1068))*(Aliases!$A$5:$A$80&lt;&gt;""),0),0)),"UNMATCHED"))</f>
        <v/>
      </c>
      <c r="M1068" s="16"/>
      <c r="N1068" s="16"/>
    </row>
    <row r="1069" spans="1:14" x14ac:dyDescent="0.3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6"/>
      <c r="L1069" s="15" t="str">
        <f>IF(E1069="","",IFERROR(INDEX(Aliases!$B$5:$B$80,MATCH(1,INDEX(ISNUMBER(SEARCH(Aliases!$A$5:$A$80,E1069))*(Aliases!$A$5:$A$80&lt;&gt;""),0),0)),"UNMATCHED"))</f>
        <v/>
      </c>
      <c r="M1069" s="16"/>
      <c r="N1069" s="16"/>
    </row>
    <row r="1070" spans="1:14" x14ac:dyDescent="0.3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6"/>
      <c r="L1070" s="15" t="str">
        <f>IF(E1070="","",IFERROR(INDEX(Aliases!$B$5:$B$80,MATCH(1,INDEX(ISNUMBER(SEARCH(Aliases!$A$5:$A$80,E1070))*(Aliases!$A$5:$A$80&lt;&gt;""),0),0)),"UNMATCHED"))</f>
        <v/>
      </c>
      <c r="M1070" s="16"/>
      <c r="N1070" s="16"/>
    </row>
    <row r="1071" spans="1:14" x14ac:dyDescent="0.3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6"/>
      <c r="L1071" s="15" t="str">
        <f>IF(E1071="","",IFERROR(INDEX(Aliases!$B$5:$B$80,MATCH(1,INDEX(ISNUMBER(SEARCH(Aliases!$A$5:$A$80,E1071))*(Aliases!$A$5:$A$80&lt;&gt;""),0),0)),"UNMATCHED"))</f>
        <v/>
      </c>
      <c r="M1071" s="16"/>
      <c r="N1071" s="16"/>
    </row>
    <row r="1072" spans="1:14" x14ac:dyDescent="0.3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6"/>
      <c r="L1072" s="15" t="str">
        <f>IF(E1072="","",IFERROR(INDEX(Aliases!$B$5:$B$80,MATCH(1,INDEX(ISNUMBER(SEARCH(Aliases!$A$5:$A$80,E1072))*(Aliases!$A$5:$A$80&lt;&gt;""),0),0)),"UNMATCHED"))</f>
        <v/>
      </c>
      <c r="M1072" s="16"/>
      <c r="N1072" s="16"/>
    </row>
    <row r="1073" spans="1:14" x14ac:dyDescent="0.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6"/>
      <c r="L1073" s="15" t="str">
        <f>IF(E1073="","",IFERROR(INDEX(Aliases!$B$5:$B$80,MATCH(1,INDEX(ISNUMBER(SEARCH(Aliases!$A$5:$A$80,E1073))*(Aliases!$A$5:$A$80&lt;&gt;""),0),0)),"UNMATCHED"))</f>
        <v/>
      </c>
      <c r="M1073" s="16"/>
      <c r="N1073" s="16"/>
    </row>
    <row r="1074" spans="1:14" x14ac:dyDescent="0.3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6"/>
      <c r="L1074" s="15" t="str">
        <f>IF(E1074="","",IFERROR(INDEX(Aliases!$B$5:$B$80,MATCH(1,INDEX(ISNUMBER(SEARCH(Aliases!$A$5:$A$80,E1074))*(Aliases!$A$5:$A$80&lt;&gt;""),0),0)),"UNMATCHED"))</f>
        <v/>
      </c>
      <c r="M1074" s="16"/>
      <c r="N1074" s="16"/>
    </row>
    <row r="1075" spans="1:14" x14ac:dyDescent="0.3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6"/>
      <c r="L1075" s="15" t="str">
        <f>IF(E1075="","",IFERROR(INDEX(Aliases!$B$5:$B$80,MATCH(1,INDEX(ISNUMBER(SEARCH(Aliases!$A$5:$A$80,E1075))*(Aliases!$A$5:$A$80&lt;&gt;""),0),0)),"UNMATCHED"))</f>
        <v/>
      </c>
      <c r="M1075" s="16"/>
      <c r="N1075" s="16"/>
    </row>
    <row r="1076" spans="1:14" x14ac:dyDescent="0.3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6"/>
      <c r="L1076" s="15" t="str">
        <f>IF(E1076="","",IFERROR(INDEX(Aliases!$B$5:$B$80,MATCH(1,INDEX(ISNUMBER(SEARCH(Aliases!$A$5:$A$80,E1076))*(Aliases!$A$5:$A$80&lt;&gt;""),0),0)),"UNMATCHED"))</f>
        <v/>
      </c>
      <c r="M1076" s="16"/>
      <c r="N1076" s="16"/>
    </row>
    <row r="1077" spans="1:14" x14ac:dyDescent="0.3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6"/>
      <c r="L1077" s="15" t="str">
        <f>IF(E1077="","",IFERROR(INDEX(Aliases!$B$5:$B$80,MATCH(1,INDEX(ISNUMBER(SEARCH(Aliases!$A$5:$A$80,E1077))*(Aliases!$A$5:$A$80&lt;&gt;""),0),0)),"UNMATCHED"))</f>
        <v/>
      </c>
      <c r="M1077" s="16"/>
      <c r="N1077" s="16"/>
    </row>
    <row r="1078" spans="1:14" x14ac:dyDescent="0.3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6"/>
      <c r="L1078" s="15" t="str">
        <f>IF(E1078="","",IFERROR(INDEX(Aliases!$B$5:$B$80,MATCH(1,INDEX(ISNUMBER(SEARCH(Aliases!$A$5:$A$80,E1078))*(Aliases!$A$5:$A$80&lt;&gt;""),0),0)),"UNMATCHED"))</f>
        <v/>
      </c>
      <c r="M1078" s="16"/>
      <c r="N1078" s="16"/>
    </row>
    <row r="1079" spans="1:14" x14ac:dyDescent="0.3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6"/>
      <c r="L1079" s="15" t="str">
        <f>IF(E1079="","",IFERROR(INDEX(Aliases!$B$5:$B$80,MATCH(1,INDEX(ISNUMBER(SEARCH(Aliases!$A$5:$A$80,E1079))*(Aliases!$A$5:$A$80&lt;&gt;""),0),0)),"UNMATCHED"))</f>
        <v/>
      </c>
      <c r="M1079" s="16"/>
      <c r="N1079" s="16"/>
    </row>
    <row r="1080" spans="1:14" x14ac:dyDescent="0.3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6"/>
      <c r="L1080" s="15" t="str">
        <f>IF(E1080="","",IFERROR(INDEX(Aliases!$B$5:$B$80,MATCH(1,INDEX(ISNUMBER(SEARCH(Aliases!$A$5:$A$80,E1080))*(Aliases!$A$5:$A$80&lt;&gt;""),0),0)),"UNMATCHED"))</f>
        <v/>
      </c>
      <c r="M1080" s="16"/>
      <c r="N1080" s="16"/>
    </row>
    <row r="1081" spans="1:14" x14ac:dyDescent="0.3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6"/>
      <c r="L1081" s="15" t="str">
        <f>IF(E1081="","",IFERROR(INDEX(Aliases!$B$5:$B$80,MATCH(1,INDEX(ISNUMBER(SEARCH(Aliases!$A$5:$A$80,E1081))*(Aliases!$A$5:$A$80&lt;&gt;""),0),0)),"UNMATCHED"))</f>
        <v/>
      </c>
      <c r="M1081" s="16"/>
      <c r="N1081" s="16"/>
    </row>
    <row r="1082" spans="1:14" x14ac:dyDescent="0.3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6"/>
      <c r="L1082" s="15" t="str">
        <f>IF(E1082="","",IFERROR(INDEX(Aliases!$B$5:$B$80,MATCH(1,INDEX(ISNUMBER(SEARCH(Aliases!$A$5:$A$80,E1082))*(Aliases!$A$5:$A$80&lt;&gt;""),0),0)),"UNMATCHED"))</f>
        <v/>
      </c>
      <c r="M1082" s="16"/>
      <c r="N1082" s="16"/>
    </row>
    <row r="1083" spans="1:14" x14ac:dyDescent="0.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6"/>
      <c r="L1083" s="15" t="str">
        <f>IF(E1083="","",IFERROR(INDEX(Aliases!$B$5:$B$80,MATCH(1,INDEX(ISNUMBER(SEARCH(Aliases!$A$5:$A$80,E1083))*(Aliases!$A$5:$A$80&lt;&gt;""),0),0)),"UNMATCHED"))</f>
        <v/>
      </c>
      <c r="M1083" s="16"/>
      <c r="N1083" s="16"/>
    </row>
    <row r="1084" spans="1:14" x14ac:dyDescent="0.3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6"/>
      <c r="L1084" s="15" t="str">
        <f>IF(E1084="","",IFERROR(INDEX(Aliases!$B$5:$B$80,MATCH(1,INDEX(ISNUMBER(SEARCH(Aliases!$A$5:$A$80,E1084))*(Aliases!$A$5:$A$80&lt;&gt;""),0),0)),"UNMATCHED"))</f>
        <v/>
      </c>
      <c r="M1084" s="16"/>
      <c r="N1084" s="16"/>
    </row>
    <row r="1085" spans="1:14" x14ac:dyDescent="0.3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6"/>
      <c r="L1085" s="15" t="str">
        <f>IF(E1085="","",IFERROR(INDEX(Aliases!$B$5:$B$80,MATCH(1,INDEX(ISNUMBER(SEARCH(Aliases!$A$5:$A$80,E1085))*(Aliases!$A$5:$A$80&lt;&gt;""),0),0)),"UNMATCHED"))</f>
        <v/>
      </c>
      <c r="M1085" s="16"/>
      <c r="N1085" s="16"/>
    </row>
    <row r="1086" spans="1:14" x14ac:dyDescent="0.3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6"/>
      <c r="L1086" s="15" t="str">
        <f>IF(E1086="","",IFERROR(INDEX(Aliases!$B$5:$B$80,MATCH(1,INDEX(ISNUMBER(SEARCH(Aliases!$A$5:$A$80,E1086))*(Aliases!$A$5:$A$80&lt;&gt;""),0),0)),"UNMATCHED"))</f>
        <v/>
      </c>
      <c r="M1086" s="16"/>
      <c r="N1086" s="16"/>
    </row>
    <row r="1087" spans="1:14" x14ac:dyDescent="0.3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6"/>
      <c r="L1087" s="15" t="str">
        <f>IF(E1087="","",IFERROR(INDEX(Aliases!$B$5:$B$80,MATCH(1,INDEX(ISNUMBER(SEARCH(Aliases!$A$5:$A$80,E1087))*(Aliases!$A$5:$A$80&lt;&gt;""),0),0)),"UNMATCHED"))</f>
        <v/>
      </c>
      <c r="M1087" s="16"/>
      <c r="N1087" s="16"/>
    </row>
    <row r="1088" spans="1:14" x14ac:dyDescent="0.3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6"/>
      <c r="L1088" s="15" t="str">
        <f>IF(E1088="","",IFERROR(INDEX(Aliases!$B$5:$B$80,MATCH(1,INDEX(ISNUMBER(SEARCH(Aliases!$A$5:$A$80,E1088))*(Aliases!$A$5:$A$80&lt;&gt;""),0),0)),"UNMATCHED"))</f>
        <v/>
      </c>
      <c r="M1088" s="16"/>
      <c r="N1088" s="16"/>
    </row>
    <row r="1089" spans="1:14" x14ac:dyDescent="0.3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6"/>
      <c r="L1089" s="15" t="str">
        <f>IF(E1089="","",IFERROR(INDEX(Aliases!$B$5:$B$80,MATCH(1,INDEX(ISNUMBER(SEARCH(Aliases!$A$5:$A$80,E1089))*(Aliases!$A$5:$A$80&lt;&gt;""),0),0)),"UNMATCHED"))</f>
        <v/>
      </c>
      <c r="M1089" s="16"/>
      <c r="N1089" s="16"/>
    </row>
    <row r="1090" spans="1:14" x14ac:dyDescent="0.3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6"/>
      <c r="L1090" s="15" t="str">
        <f>IF(E1090="","",IFERROR(INDEX(Aliases!$B$5:$B$80,MATCH(1,INDEX(ISNUMBER(SEARCH(Aliases!$A$5:$A$80,E1090))*(Aliases!$A$5:$A$80&lt;&gt;""),0),0)),"UNMATCHED"))</f>
        <v/>
      </c>
      <c r="M1090" s="16"/>
      <c r="N1090" s="16"/>
    </row>
    <row r="1091" spans="1:14" x14ac:dyDescent="0.3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6"/>
      <c r="L1091" s="15" t="str">
        <f>IF(E1091="","",IFERROR(INDEX(Aliases!$B$5:$B$80,MATCH(1,INDEX(ISNUMBER(SEARCH(Aliases!$A$5:$A$80,E1091))*(Aliases!$A$5:$A$80&lt;&gt;""),0),0)),"UNMATCHED"))</f>
        <v/>
      </c>
      <c r="M1091" s="16"/>
      <c r="N1091" s="16"/>
    </row>
    <row r="1092" spans="1:14" x14ac:dyDescent="0.3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6"/>
      <c r="L1092" s="15" t="str">
        <f>IF(E1092="","",IFERROR(INDEX(Aliases!$B$5:$B$80,MATCH(1,INDEX(ISNUMBER(SEARCH(Aliases!$A$5:$A$80,E1092))*(Aliases!$A$5:$A$80&lt;&gt;""),0),0)),"UNMATCHED"))</f>
        <v/>
      </c>
      <c r="M1092" s="16"/>
      <c r="N1092" s="16"/>
    </row>
    <row r="1093" spans="1:14" x14ac:dyDescent="0.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6"/>
      <c r="L1093" s="15" t="str">
        <f>IF(E1093="","",IFERROR(INDEX(Aliases!$B$5:$B$80,MATCH(1,INDEX(ISNUMBER(SEARCH(Aliases!$A$5:$A$80,E1093))*(Aliases!$A$5:$A$80&lt;&gt;""),0),0)),"UNMATCHED"))</f>
        <v/>
      </c>
      <c r="M1093" s="16"/>
      <c r="N1093" s="16"/>
    </row>
    <row r="1094" spans="1:14" x14ac:dyDescent="0.3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6"/>
      <c r="L1094" s="15" t="str">
        <f>IF(E1094="","",IFERROR(INDEX(Aliases!$B$5:$B$80,MATCH(1,INDEX(ISNUMBER(SEARCH(Aliases!$A$5:$A$80,E1094))*(Aliases!$A$5:$A$80&lt;&gt;""),0),0)),"UNMATCHED"))</f>
        <v/>
      </c>
      <c r="M1094" s="16"/>
      <c r="N1094" s="16"/>
    </row>
    <row r="1095" spans="1:14" x14ac:dyDescent="0.3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6"/>
      <c r="L1095" s="15" t="str">
        <f>IF(E1095="","",IFERROR(INDEX(Aliases!$B$5:$B$80,MATCH(1,INDEX(ISNUMBER(SEARCH(Aliases!$A$5:$A$80,E1095))*(Aliases!$A$5:$A$80&lt;&gt;""),0),0)),"UNMATCHED"))</f>
        <v/>
      </c>
      <c r="M1095" s="16"/>
      <c r="N1095" s="16"/>
    </row>
    <row r="1096" spans="1:14" x14ac:dyDescent="0.3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6"/>
      <c r="L1096" s="15" t="str">
        <f>IF(E1096="","",IFERROR(INDEX(Aliases!$B$5:$B$80,MATCH(1,INDEX(ISNUMBER(SEARCH(Aliases!$A$5:$A$80,E1096))*(Aliases!$A$5:$A$80&lt;&gt;""),0),0)),"UNMATCHED"))</f>
        <v/>
      </c>
      <c r="M1096" s="16"/>
      <c r="N1096" s="16"/>
    </row>
    <row r="1097" spans="1:14" x14ac:dyDescent="0.3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6"/>
      <c r="L1097" s="15" t="str">
        <f>IF(E1097="","",IFERROR(INDEX(Aliases!$B$5:$B$80,MATCH(1,INDEX(ISNUMBER(SEARCH(Aliases!$A$5:$A$80,E1097))*(Aliases!$A$5:$A$80&lt;&gt;""),0),0)),"UNMATCHED"))</f>
        <v/>
      </c>
      <c r="M1097" s="16"/>
      <c r="N1097" s="16"/>
    </row>
    <row r="1098" spans="1:14" x14ac:dyDescent="0.3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6"/>
      <c r="L1098" s="15" t="str">
        <f>IF(E1098="","",IFERROR(INDEX(Aliases!$B$5:$B$80,MATCH(1,INDEX(ISNUMBER(SEARCH(Aliases!$A$5:$A$80,E1098))*(Aliases!$A$5:$A$80&lt;&gt;""),0),0)),"UNMATCHED"))</f>
        <v/>
      </c>
      <c r="M1098" s="16"/>
      <c r="N1098" s="16"/>
    </row>
    <row r="1099" spans="1:14" x14ac:dyDescent="0.3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6"/>
      <c r="L1099" s="15" t="str">
        <f>IF(E1099="","",IFERROR(INDEX(Aliases!$B$5:$B$80,MATCH(1,INDEX(ISNUMBER(SEARCH(Aliases!$A$5:$A$80,E1099))*(Aliases!$A$5:$A$80&lt;&gt;""),0),0)),"UNMATCHED"))</f>
        <v/>
      </c>
      <c r="M1099" s="16"/>
      <c r="N1099" s="16"/>
    </row>
    <row r="1100" spans="1:14" x14ac:dyDescent="0.3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6"/>
      <c r="L1100" s="15" t="str">
        <f>IF(E1100="","",IFERROR(INDEX(Aliases!$B$5:$B$80,MATCH(1,INDEX(ISNUMBER(SEARCH(Aliases!$A$5:$A$80,E1100))*(Aliases!$A$5:$A$80&lt;&gt;""),0),0)),"UNMATCHED"))</f>
        <v/>
      </c>
      <c r="M1100" s="16"/>
      <c r="N1100" s="16"/>
    </row>
    <row r="1101" spans="1:14" x14ac:dyDescent="0.3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6"/>
      <c r="L1101" s="15" t="str">
        <f>IF(E1101="","",IFERROR(INDEX(Aliases!$B$5:$B$80,MATCH(1,INDEX(ISNUMBER(SEARCH(Aliases!$A$5:$A$80,E1101))*(Aliases!$A$5:$A$80&lt;&gt;""),0),0)),"UNMATCHED"))</f>
        <v/>
      </c>
      <c r="M1101" s="16"/>
      <c r="N1101" s="16"/>
    </row>
    <row r="1102" spans="1:14" x14ac:dyDescent="0.3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6"/>
      <c r="L1102" s="15" t="str">
        <f>IF(E1102="","",IFERROR(INDEX(Aliases!$B$5:$B$80,MATCH(1,INDEX(ISNUMBER(SEARCH(Aliases!$A$5:$A$80,E1102))*(Aliases!$A$5:$A$80&lt;&gt;""),0),0)),"UNMATCHED"))</f>
        <v/>
      </c>
      <c r="M1102" s="16"/>
      <c r="N1102" s="16"/>
    </row>
    <row r="1103" spans="1:14" x14ac:dyDescent="0.3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6"/>
      <c r="L1103" s="15" t="str">
        <f>IF(E1103="","",IFERROR(INDEX(Aliases!$B$5:$B$80,MATCH(1,INDEX(ISNUMBER(SEARCH(Aliases!$A$5:$A$80,E1103))*(Aliases!$A$5:$A$80&lt;&gt;""),0),0)),"UNMATCHED"))</f>
        <v/>
      </c>
      <c r="M1103" s="16"/>
      <c r="N1103" s="16"/>
    </row>
    <row r="1104" spans="1:14" x14ac:dyDescent="0.3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6"/>
      <c r="L1104" s="15" t="str">
        <f>IF(E1104="","",IFERROR(INDEX(Aliases!$B$5:$B$80,MATCH(1,INDEX(ISNUMBER(SEARCH(Aliases!$A$5:$A$80,E1104))*(Aliases!$A$5:$A$80&lt;&gt;""),0),0)),"UNMATCHED"))</f>
        <v/>
      </c>
      <c r="M1104" s="16"/>
      <c r="N1104" s="16"/>
    </row>
    <row r="1105" spans="1:14" x14ac:dyDescent="0.3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6"/>
      <c r="L1105" s="15" t="str">
        <f>IF(E1105="","",IFERROR(INDEX(Aliases!$B$5:$B$80,MATCH(1,INDEX(ISNUMBER(SEARCH(Aliases!$A$5:$A$80,E1105))*(Aliases!$A$5:$A$80&lt;&gt;""),0),0)),"UNMATCHED"))</f>
        <v/>
      </c>
      <c r="M1105" s="16"/>
      <c r="N1105" s="16"/>
    </row>
    <row r="1106" spans="1:14" x14ac:dyDescent="0.3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6"/>
      <c r="L1106" s="15" t="str">
        <f>IF(E1106="","",IFERROR(INDEX(Aliases!$B$5:$B$80,MATCH(1,INDEX(ISNUMBER(SEARCH(Aliases!$A$5:$A$80,E1106))*(Aliases!$A$5:$A$80&lt;&gt;""),0),0)),"UNMATCHED"))</f>
        <v/>
      </c>
      <c r="M1106" s="16"/>
      <c r="N1106" s="16"/>
    </row>
    <row r="1107" spans="1:14" x14ac:dyDescent="0.3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6"/>
      <c r="L1107" s="15" t="str">
        <f>IF(E1107="","",IFERROR(INDEX(Aliases!$B$5:$B$80,MATCH(1,INDEX(ISNUMBER(SEARCH(Aliases!$A$5:$A$80,E1107))*(Aliases!$A$5:$A$80&lt;&gt;""),0),0)),"UNMATCHED"))</f>
        <v/>
      </c>
      <c r="M1107" s="16"/>
      <c r="N1107" s="16"/>
    </row>
    <row r="1108" spans="1:14" x14ac:dyDescent="0.3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6"/>
      <c r="L1108" s="15" t="str">
        <f>IF(E1108="","",IFERROR(INDEX(Aliases!$B$5:$B$80,MATCH(1,INDEX(ISNUMBER(SEARCH(Aliases!$A$5:$A$80,E1108))*(Aliases!$A$5:$A$80&lt;&gt;""),0),0)),"UNMATCHED"))</f>
        <v/>
      </c>
      <c r="M1108" s="16"/>
      <c r="N1108" s="16"/>
    </row>
    <row r="1109" spans="1:14" x14ac:dyDescent="0.3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6"/>
      <c r="L1109" s="15" t="str">
        <f>IF(E1109="","",IFERROR(INDEX(Aliases!$B$5:$B$80,MATCH(1,INDEX(ISNUMBER(SEARCH(Aliases!$A$5:$A$80,E1109))*(Aliases!$A$5:$A$80&lt;&gt;""),0),0)),"UNMATCHED"))</f>
        <v/>
      </c>
      <c r="M1109" s="16"/>
      <c r="N1109" s="16"/>
    </row>
    <row r="1110" spans="1:14" x14ac:dyDescent="0.3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6"/>
      <c r="L1110" s="15" t="str">
        <f>IF(E1110="","",IFERROR(INDEX(Aliases!$B$5:$B$80,MATCH(1,INDEX(ISNUMBER(SEARCH(Aliases!$A$5:$A$80,E1110))*(Aliases!$A$5:$A$80&lt;&gt;""),0),0)),"UNMATCHED"))</f>
        <v/>
      </c>
      <c r="M1110" s="16"/>
      <c r="N1110" s="16"/>
    </row>
    <row r="1111" spans="1:14" x14ac:dyDescent="0.3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6"/>
      <c r="L1111" s="15" t="str">
        <f>IF(E1111="","",IFERROR(INDEX(Aliases!$B$5:$B$80,MATCH(1,INDEX(ISNUMBER(SEARCH(Aliases!$A$5:$A$80,E1111))*(Aliases!$A$5:$A$80&lt;&gt;""),0),0)),"UNMATCHED"))</f>
        <v/>
      </c>
      <c r="M1111" s="16"/>
      <c r="N1111" s="16"/>
    </row>
    <row r="1112" spans="1:14" x14ac:dyDescent="0.3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6"/>
      <c r="L1112" s="15" t="str">
        <f>IF(E1112="","",IFERROR(INDEX(Aliases!$B$5:$B$80,MATCH(1,INDEX(ISNUMBER(SEARCH(Aliases!$A$5:$A$80,E1112))*(Aliases!$A$5:$A$80&lt;&gt;""),0),0)),"UNMATCHED"))</f>
        <v/>
      </c>
      <c r="M1112" s="16"/>
      <c r="N1112" s="16"/>
    </row>
    <row r="1113" spans="1:14" x14ac:dyDescent="0.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6"/>
      <c r="L1113" s="15" t="str">
        <f>IF(E1113="","",IFERROR(INDEX(Aliases!$B$5:$B$80,MATCH(1,INDEX(ISNUMBER(SEARCH(Aliases!$A$5:$A$80,E1113))*(Aliases!$A$5:$A$80&lt;&gt;""),0),0)),"UNMATCHED"))</f>
        <v/>
      </c>
      <c r="M1113" s="16"/>
      <c r="N1113" s="16"/>
    </row>
    <row r="1114" spans="1:14" x14ac:dyDescent="0.3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6"/>
      <c r="L1114" s="15" t="str">
        <f>IF(E1114="","",IFERROR(INDEX(Aliases!$B$5:$B$80,MATCH(1,INDEX(ISNUMBER(SEARCH(Aliases!$A$5:$A$80,E1114))*(Aliases!$A$5:$A$80&lt;&gt;""),0),0)),"UNMATCHED"))</f>
        <v/>
      </c>
      <c r="M1114" s="16"/>
      <c r="N1114" s="16"/>
    </row>
    <row r="1115" spans="1:14" x14ac:dyDescent="0.3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6"/>
      <c r="L1115" s="15" t="str">
        <f>IF(E1115="","",IFERROR(INDEX(Aliases!$B$5:$B$80,MATCH(1,INDEX(ISNUMBER(SEARCH(Aliases!$A$5:$A$80,E1115))*(Aliases!$A$5:$A$80&lt;&gt;""),0),0)),"UNMATCHED"))</f>
        <v/>
      </c>
      <c r="M1115" s="16"/>
      <c r="N1115" s="16"/>
    </row>
    <row r="1116" spans="1:14" x14ac:dyDescent="0.3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6"/>
      <c r="L1116" s="15" t="str">
        <f>IF(E1116="","",IFERROR(INDEX(Aliases!$B$5:$B$80,MATCH(1,INDEX(ISNUMBER(SEARCH(Aliases!$A$5:$A$80,E1116))*(Aliases!$A$5:$A$80&lt;&gt;""),0),0)),"UNMATCHED"))</f>
        <v/>
      </c>
      <c r="M1116" s="16"/>
      <c r="N1116" s="16"/>
    </row>
    <row r="1117" spans="1:14" x14ac:dyDescent="0.3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6"/>
      <c r="L1117" s="15" t="str">
        <f>IF(E1117="","",IFERROR(INDEX(Aliases!$B$5:$B$80,MATCH(1,INDEX(ISNUMBER(SEARCH(Aliases!$A$5:$A$80,E1117))*(Aliases!$A$5:$A$80&lt;&gt;""),0),0)),"UNMATCHED"))</f>
        <v/>
      </c>
      <c r="M1117" s="16"/>
      <c r="N1117" s="16"/>
    </row>
    <row r="1118" spans="1:14" x14ac:dyDescent="0.3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6"/>
      <c r="L1118" s="15" t="str">
        <f>IF(E1118="","",IFERROR(INDEX(Aliases!$B$5:$B$80,MATCH(1,INDEX(ISNUMBER(SEARCH(Aliases!$A$5:$A$80,E1118))*(Aliases!$A$5:$A$80&lt;&gt;""),0),0)),"UNMATCHED"))</f>
        <v/>
      </c>
      <c r="M1118" s="16"/>
      <c r="N1118" s="16"/>
    </row>
    <row r="1119" spans="1:14" x14ac:dyDescent="0.3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6"/>
      <c r="L1119" s="15" t="str">
        <f>IF(E1119="","",IFERROR(INDEX(Aliases!$B$5:$B$80,MATCH(1,INDEX(ISNUMBER(SEARCH(Aliases!$A$5:$A$80,E1119))*(Aliases!$A$5:$A$80&lt;&gt;""),0),0)),"UNMATCHED"))</f>
        <v/>
      </c>
      <c r="M1119" s="16"/>
      <c r="N1119" s="16"/>
    </row>
    <row r="1120" spans="1:14" x14ac:dyDescent="0.3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6"/>
      <c r="L1120" s="15" t="str">
        <f>IF(E1120="","",IFERROR(INDEX(Aliases!$B$5:$B$80,MATCH(1,INDEX(ISNUMBER(SEARCH(Aliases!$A$5:$A$80,E1120))*(Aliases!$A$5:$A$80&lt;&gt;""),0),0)),"UNMATCHED"))</f>
        <v/>
      </c>
      <c r="M1120" s="16"/>
      <c r="N1120" s="16"/>
    </row>
    <row r="1121" spans="1:14" x14ac:dyDescent="0.3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6"/>
      <c r="L1121" s="15" t="str">
        <f>IF(E1121="","",IFERROR(INDEX(Aliases!$B$5:$B$80,MATCH(1,INDEX(ISNUMBER(SEARCH(Aliases!$A$5:$A$80,E1121))*(Aliases!$A$5:$A$80&lt;&gt;""),0),0)),"UNMATCHED"))</f>
        <v/>
      </c>
      <c r="M1121" s="16"/>
      <c r="N1121" s="16"/>
    </row>
    <row r="1122" spans="1:14" x14ac:dyDescent="0.3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6"/>
      <c r="L1122" s="15" t="str">
        <f>IF(E1122="","",IFERROR(INDEX(Aliases!$B$5:$B$80,MATCH(1,INDEX(ISNUMBER(SEARCH(Aliases!$A$5:$A$80,E1122))*(Aliases!$A$5:$A$80&lt;&gt;""),0),0)),"UNMATCHED"))</f>
        <v/>
      </c>
      <c r="M1122" s="16"/>
      <c r="N1122" s="16"/>
    </row>
    <row r="1123" spans="1:14" x14ac:dyDescent="0.3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6"/>
      <c r="L1123" s="15" t="str">
        <f>IF(E1123="","",IFERROR(INDEX(Aliases!$B$5:$B$80,MATCH(1,INDEX(ISNUMBER(SEARCH(Aliases!$A$5:$A$80,E1123))*(Aliases!$A$5:$A$80&lt;&gt;""),0),0)),"UNMATCHED"))</f>
        <v/>
      </c>
      <c r="M1123" s="16"/>
      <c r="N1123" s="16"/>
    </row>
    <row r="1124" spans="1:14" x14ac:dyDescent="0.3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6"/>
      <c r="L1124" s="15" t="str">
        <f>IF(E1124="","",IFERROR(INDEX(Aliases!$B$5:$B$80,MATCH(1,INDEX(ISNUMBER(SEARCH(Aliases!$A$5:$A$80,E1124))*(Aliases!$A$5:$A$80&lt;&gt;""),0),0)),"UNMATCHED"))</f>
        <v/>
      </c>
      <c r="M1124" s="16"/>
      <c r="N1124" s="16"/>
    </row>
    <row r="1125" spans="1:14" x14ac:dyDescent="0.3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6"/>
      <c r="L1125" s="15" t="str">
        <f>IF(E1125="","",IFERROR(INDEX(Aliases!$B$5:$B$80,MATCH(1,INDEX(ISNUMBER(SEARCH(Aliases!$A$5:$A$80,E1125))*(Aliases!$A$5:$A$80&lt;&gt;""),0),0)),"UNMATCHED"))</f>
        <v/>
      </c>
      <c r="M1125" s="16"/>
      <c r="N1125" s="16"/>
    </row>
    <row r="1126" spans="1:14" x14ac:dyDescent="0.3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6"/>
      <c r="L1126" s="15" t="str">
        <f>IF(E1126="","",IFERROR(INDEX(Aliases!$B$5:$B$80,MATCH(1,INDEX(ISNUMBER(SEARCH(Aliases!$A$5:$A$80,E1126))*(Aliases!$A$5:$A$80&lt;&gt;""),0),0)),"UNMATCHED"))</f>
        <v/>
      </c>
      <c r="M1126" s="16"/>
      <c r="N1126" s="16"/>
    </row>
    <row r="1127" spans="1:14" x14ac:dyDescent="0.3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6"/>
      <c r="L1127" s="15" t="str">
        <f>IF(E1127="","",IFERROR(INDEX(Aliases!$B$5:$B$80,MATCH(1,INDEX(ISNUMBER(SEARCH(Aliases!$A$5:$A$80,E1127))*(Aliases!$A$5:$A$80&lt;&gt;""),0),0)),"UNMATCHED"))</f>
        <v/>
      </c>
      <c r="M1127" s="16"/>
      <c r="N1127" s="16"/>
    </row>
    <row r="1128" spans="1:14" x14ac:dyDescent="0.3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6"/>
      <c r="L1128" s="15" t="str">
        <f>IF(E1128="","",IFERROR(INDEX(Aliases!$B$5:$B$80,MATCH(1,INDEX(ISNUMBER(SEARCH(Aliases!$A$5:$A$80,E1128))*(Aliases!$A$5:$A$80&lt;&gt;""),0),0)),"UNMATCHED"))</f>
        <v/>
      </c>
      <c r="M1128" s="16"/>
      <c r="N1128" s="16"/>
    </row>
    <row r="1129" spans="1:14" x14ac:dyDescent="0.3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6"/>
      <c r="L1129" s="15" t="str">
        <f>IF(E1129="","",IFERROR(INDEX(Aliases!$B$5:$B$80,MATCH(1,INDEX(ISNUMBER(SEARCH(Aliases!$A$5:$A$80,E1129))*(Aliases!$A$5:$A$80&lt;&gt;""),0),0)),"UNMATCHED"))</f>
        <v/>
      </c>
      <c r="M1129" s="16"/>
      <c r="N1129" s="16"/>
    </row>
    <row r="1130" spans="1:14" x14ac:dyDescent="0.3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6"/>
      <c r="L1130" s="15" t="str">
        <f>IF(E1130="","",IFERROR(INDEX(Aliases!$B$5:$B$80,MATCH(1,INDEX(ISNUMBER(SEARCH(Aliases!$A$5:$A$80,E1130))*(Aliases!$A$5:$A$80&lt;&gt;""),0),0)),"UNMATCHED"))</f>
        <v/>
      </c>
      <c r="M1130" s="16"/>
      <c r="N1130" s="16"/>
    </row>
    <row r="1131" spans="1:14" x14ac:dyDescent="0.3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6"/>
      <c r="L1131" s="15" t="str">
        <f>IF(E1131="","",IFERROR(INDEX(Aliases!$B$5:$B$80,MATCH(1,INDEX(ISNUMBER(SEARCH(Aliases!$A$5:$A$80,E1131))*(Aliases!$A$5:$A$80&lt;&gt;""),0),0)),"UNMATCHED"))</f>
        <v/>
      </c>
      <c r="M1131" s="16"/>
      <c r="N1131" s="16"/>
    </row>
    <row r="1132" spans="1:14" x14ac:dyDescent="0.3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6"/>
      <c r="L1132" s="15" t="str">
        <f>IF(E1132="","",IFERROR(INDEX(Aliases!$B$5:$B$80,MATCH(1,INDEX(ISNUMBER(SEARCH(Aliases!$A$5:$A$80,E1132))*(Aliases!$A$5:$A$80&lt;&gt;""),0),0)),"UNMATCHED"))</f>
        <v/>
      </c>
      <c r="M1132" s="16"/>
      <c r="N1132" s="16"/>
    </row>
    <row r="1133" spans="1:14" x14ac:dyDescent="0.3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6"/>
      <c r="L1133" s="15" t="str">
        <f>IF(E1133="","",IFERROR(INDEX(Aliases!$B$5:$B$80,MATCH(1,INDEX(ISNUMBER(SEARCH(Aliases!$A$5:$A$80,E1133))*(Aliases!$A$5:$A$80&lt;&gt;""),0),0)),"UNMATCHED"))</f>
        <v/>
      </c>
      <c r="M1133" s="16"/>
      <c r="N1133" s="16"/>
    </row>
    <row r="1134" spans="1:14" x14ac:dyDescent="0.3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6"/>
      <c r="L1134" s="15" t="str">
        <f>IF(E1134="","",IFERROR(INDEX(Aliases!$B$5:$B$80,MATCH(1,INDEX(ISNUMBER(SEARCH(Aliases!$A$5:$A$80,E1134))*(Aliases!$A$5:$A$80&lt;&gt;""),0),0)),"UNMATCHED"))</f>
        <v/>
      </c>
      <c r="M1134" s="16"/>
      <c r="N1134" s="16"/>
    </row>
    <row r="1135" spans="1:14" x14ac:dyDescent="0.3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6"/>
      <c r="L1135" s="15" t="str">
        <f>IF(E1135="","",IFERROR(INDEX(Aliases!$B$5:$B$80,MATCH(1,INDEX(ISNUMBER(SEARCH(Aliases!$A$5:$A$80,E1135))*(Aliases!$A$5:$A$80&lt;&gt;""),0),0)),"UNMATCHED"))</f>
        <v/>
      </c>
      <c r="M1135" s="16"/>
      <c r="N1135" s="16"/>
    </row>
    <row r="1136" spans="1:14" x14ac:dyDescent="0.3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6"/>
      <c r="L1136" s="15" t="str">
        <f>IF(E1136="","",IFERROR(INDEX(Aliases!$B$5:$B$80,MATCH(1,INDEX(ISNUMBER(SEARCH(Aliases!$A$5:$A$80,E1136))*(Aliases!$A$5:$A$80&lt;&gt;""),0),0)),"UNMATCHED"))</f>
        <v/>
      </c>
      <c r="M1136" s="16"/>
      <c r="N1136" s="16"/>
    </row>
    <row r="1137" spans="1:14" x14ac:dyDescent="0.3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6"/>
      <c r="L1137" s="15" t="str">
        <f>IF(E1137="","",IFERROR(INDEX(Aliases!$B$5:$B$80,MATCH(1,INDEX(ISNUMBER(SEARCH(Aliases!$A$5:$A$80,E1137))*(Aliases!$A$5:$A$80&lt;&gt;""),0),0)),"UNMATCHED"))</f>
        <v/>
      </c>
      <c r="M1137" s="16"/>
      <c r="N1137" s="16"/>
    </row>
    <row r="1138" spans="1:14" x14ac:dyDescent="0.3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6"/>
      <c r="L1138" s="15" t="str">
        <f>IF(E1138="","",IFERROR(INDEX(Aliases!$B$5:$B$80,MATCH(1,INDEX(ISNUMBER(SEARCH(Aliases!$A$5:$A$80,E1138))*(Aliases!$A$5:$A$80&lt;&gt;""),0),0)),"UNMATCHED"))</f>
        <v/>
      </c>
      <c r="M1138" s="16"/>
      <c r="N1138" s="16"/>
    </row>
    <row r="1139" spans="1:14" x14ac:dyDescent="0.3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6"/>
      <c r="L1139" s="15" t="str">
        <f>IF(E1139="","",IFERROR(INDEX(Aliases!$B$5:$B$80,MATCH(1,INDEX(ISNUMBER(SEARCH(Aliases!$A$5:$A$80,E1139))*(Aliases!$A$5:$A$80&lt;&gt;""),0),0)),"UNMATCHED"))</f>
        <v/>
      </c>
      <c r="M1139" s="16"/>
      <c r="N1139" s="16"/>
    </row>
    <row r="1140" spans="1:14" x14ac:dyDescent="0.3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6"/>
      <c r="L1140" s="15" t="str">
        <f>IF(E1140="","",IFERROR(INDEX(Aliases!$B$5:$B$80,MATCH(1,INDEX(ISNUMBER(SEARCH(Aliases!$A$5:$A$80,E1140))*(Aliases!$A$5:$A$80&lt;&gt;""),0),0)),"UNMATCHED"))</f>
        <v/>
      </c>
      <c r="M1140" s="16"/>
      <c r="N1140" s="16"/>
    </row>
    <row r="1141" spans="1:14" x14ac:dyDescent="0.3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6"/>
      <c r="L1141" s="15" t="str">
        <f>IF(E1141="","",IFERROR(INDEX(Aliases!$B$5:$B$80,MATCH(1,INDEX(ISNUMBER(SEARCH(Aliases!$A$5:$A$80,E1141))*(Aliases!$A$5:$A$80&lt;&gt;""),0),0)),"UNMATCHED"))</f>
        <v/>
      </c>
      <c r="M1141" s="16"/>
      <c r="N1141" s="16"/>
    </row>
    <row r="1142" spans="1:14" x14ac:dyDescent="0.3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6"/>
      <c r="L1142" s="15" t="str">
        <f>IF(E1142="","",IFERROR(INDEX(Aliases!$B$5:$B$80,MATCH(1,INDEX(ISNUMBER(SEARCH(Aliases!$A$5:$A$80,E1142))*(Aliases!$A$5:$A$80&lt;&gt;""),0),0)),"UNMATCHED"))</f>
        <v/>
      </c>
      <c r="M1142" s="16"/>
      <c r="N1142" s="16"/>
    </row>
    <row r="1143" spans="1:14" x14ac:dyDescent="0.3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6"/>
      <c r="L1143" s="15" t="str">
        <f>IF(E1143="","",IFERROR(INDEX(Aliases!$B$5:$B$80,MATCH(1,INDEX(ISNUMBER(SEARCH(Aliases!$A$5:$A$80,E1143))*(Aliases!$A$5:$A$80&lt;&gt;""),0),0)),"UNMATCHED"))</f>
        <v/>
      </c>
      <c r="M1143" s="16"/>
      <c r="N1143" s="16"/>
    </row>
    <row r="1144" spans="1:14" x14ac:dyDescent="0.3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6"/>
      <c r="L1144" s="15" t="str">
        <f>IF(E1144="","",IFERROR(INDEX(Aliases!$B$5:$B$80,MATCH(1,INDEX(ISNUMBER(SEARCH(Aliases!$A$5:$A$80,E1144))*(Aliases!$A$5:$A$80&lt;&gt;""),0),0)),"UNMATCHED"))</f>
        <v/>
      </c>
      <c r="M1144" s="16"/>
      <c r="N1144" s="16"/>
    </row>
    <row r="1145" spans="1:14" x14ac:dyDescent="0.3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6"/>
      <c r="L1145" s="15" t="str">
        <f>IF(E1145="","",IFERROR(INDEX(Aliases!$B$5:$B$80,MATCH(1,INDEX(ISNUMBER(SEARCH(Aliases!$A$5:$A$80,E1145))*(Aliases!$A$5:$A$80&lt;&gt;""),0),0)),"UNMATCHED"))</f>
        <v/>
      </c>
      <c r="M1145" s="16"/>
      <c r="N1145" s="16"/>
    </row>
    <row r="1146" spans="1:14" x14ac:dyDescent="0.3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6"/>
      <c r="L1146" s="15" t="str">
        <f>IF(E1146="","",IFERROR(INDEX(Aliases!$B$5:$B$80,MATCH(1,INDEX(ISNUMBER(SEARCH(Aliases!$A$5:$A$80,E1146))*(Aliases!$A$5:$A$80&lt;&gt;""),0),0)),"UNMATCHED"))</f>
        <v/>
      </c>
      <c r="M1146" s="16"/>
      <c r="N1146" s="16"/>
    </row>
    <row r="1147" spans="1:14" x14ac:dyDescent="0.3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6"/>
      <c r="L1147" s="15" t="str">
        <f>IF(E1147="","",IFERROR(INDEX(Aliases!$B$5:$B$80,MATCH(1,INDEX(ISNUMBER(SEARCH(Aliases!$A$5:$A$80,E1147))*(Aliases!$A$5:$A$80&lt;&gt;""),0),0)),"UNMATCHED"))</f>
        <v/>
      </c>
      <c r="M1147" s="16"/>
      <c r="N1147" s="16"/>
    </row>
    <row r="1148" spans="1:14" x14ac:dyDescent="0.3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6"/>
      <c r="L1148" s="15" t="str">
        <f>IF(E1148="","",IFERROR(INDEX(Aliases!$B$5:$B$80,MATCH(1,INDEX(ISNUMBER(SEARCH(Aliases!$A$5:$A$80,E1148))*(Aliases!$A$5:$A$80&lt;&gt;""),0),0)),"UNMATCHED"))</f>
        <v/>
      </c>
      <c r="M1148" s="16"/>
      <c r="N1148" s="16"/>
    </row>
    <row r="1149" spans="1:14" x14ac:dyDescent="0.3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6"/>
      <c r="L1149" s="15" t="str">
        <f>IF(E1149="","",IFERROR(INDEX(Aliases!$B$5:$B$80,MATCH(1,INDEX(ISNUMBER(SEARCH(Aliases!$A$5:$A$80,E1149))*(Aliases!$A$5:$A$80&lt;&gt;""),0),0)),"UNMATCHED"))</f>
        <v/>
      </c>
      <c r="M1149" s="16"/>
      <c r="N1149" s="16"/>
    </row>
    <row r="1150" spans="1:14" x14ac:dyDescent="0.3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6"/>
      <c r="L1150" s="15" t="str">
        <f>IF(E1150="","",IFERROR(INDEX(Aliases!$B$5:$B$80,MATCH(1,INDEX(ISNUMBER(SEARCH(Aliases!$A$5:$A$80,E1150))*(Aliases!$A$5:$A$80&lt;&gt;""),0),0)),"UNMATCHED"))</f>
        <v/>
      </c>
      <c r="M1150" s="16"/>
      <c r="N1150" s="16"/>
    </row>
    <row r="1151" spans="1:14" x14ac:dyDescent="0.3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6"/>
      <c r="L1151" s="15" t="str">
        <f>IF(E1151="","",IFERROR(INDEX(Aliases!$B$5:$B$80,MATCH(1,INDEX(ISNUMBER(SEARCH(Aliases!$A$5:$A$80,E1151))*(Aliases!$A$5:$A$80&lt;&gt;""),0),0)),"UNMATCHED"))</f>
        <v/>
      </c>
      <c r="M1151" s="16"/>
      <c r="N1151" s="16"/>
    </row>
    <row r="1152" spans="1:14" x14ac:dyDescent="0.3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6"/>
      <c r="L1152" s="15" t="str">
        <f>IF(E1152="","",IFERROR(INDEX(Aliases!$B$5:$B$80,MATCH(1,INDEX(ISNUMBER(SEARCH(Aliases!$A$5:$A$80,E1152))*(Aliases!$A$5:$A$80&lt;&gt;""),0),0)),"UNMATCHED"))</f>
        <v/>
      </c>
      <c r="M1152" s="16"/>
      <c r="N1152" s="16"/>
    </row>
    <row r="1153" spans="1:14" x14ac:dyDescent="0.3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6"/>
      <c r="L1153" s="15" t="str">
        <f>IF(E1153="","",IFERROR(INDEX(Aliases!$B$5:$B$80,MATCH(1,INDEX(ISNUMBER(SEARCH(Aliases!$A$5:$A$80,E1153))*(Aliases!$A$5:$A$80&lt;&gt;""),0),0)),"UNMATCHED"))</f>
        <v/>
      </c>
      <c r="M1153" s="16"/>
      <c r="N1153" s="16"/>
    </row>
    <row r="1154" spans="1:14" x14ac:dyDescent="0.3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6"/>
      <c r="L1154" s="15" t="str">
        <f>IF(E1154="","",IFERROR(INDEX(Aliases!$B$5:$B$80,MATCH(1,INDEX(ISNUMBER(SEARCH(Aliases!$A$5:$A$80,E1154))*(Aliases!$A$5:$A$80&lt;&gt;""),0),0)),"UNMATCHED"))</f>
        <v/>
      </c>
      <c r="M1154" s="16"/>
      <c r="N1154" s="16"/>
    </row>
    <row r="1155" spans="1:14" x14ac:dyDescent="0.3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6"/>
      <c r="L1155" s="15" t="str">
        <f>IF(E1155="","",IFERROR(INDEX(Aliases!$B$5:$B$80,MATCH(1,INDEX(ISNUMBER(SEARCH(Aliases!$A$5:$A$80,E1155))*(Aliases!$A$5:$A$80&lt;&gt;""),0),0)),"UNMATCHED"))</f>
        <v/>
      </c>
      <c r="M1155" s="16"/>
      <c r="N1155" s="16"/>
    </row>
    <row r="1156" spans="1:14" x14ac:dyDescent="0.3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6"/>
      <c r="L1156" s="15" t="str">
        <f>IF(E1156="","",IFERROR(INDEX(Aliases!$B$5:$B$80,MATCH(1,INDEX(ISNUMBER(SEARCH(Aliases!$A$5:$A$80,E1156))*(Aliases!$A$5:$A$80&lt;&gt;""),0),0)),"UNMATCHED"))</f>
        <v/>
      </c>
      <c r="M1156" s="16"/>
      <c r="N1156" s="16"/>
    </row>
    <row r="1157" spans="1:14" x14ac:dyDescent="0.3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6"/>
      <c r="L1157" s="15" t="str">
        <f>IF(E1157="","",IFERROR(INDEX(Aliases!$B$5:$B$80,MATCH(1,INDEX(ISNUMBER(SEARCH(Aliases!$A$5:$A$80,E1157))*(Aliases!$A$5:$A$80&lt;&gt;""),0),0)),"UNMATCHED"))</f>
        <v/>
      </c>
      <c r="M1157" s="16"/>
      <c r="N1157" s="16"/>
    </row>
    <row r="1158" spans="1:14" x14ac:dyDescent="0.3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6"/>
      <c r="L1158" s="15" t="str">
        <f>IF(E1158="","",IFERROR(INDEX(Aliases!$B$5:$B$80,MATCH(1,INDEX(ISNUMBER(SEARCH(Aliases!$A$5:$A$80,E1158))*(Aliases!$A$5:$A$80&lt;&gt;""),0),0)),"UNMATCHED"))</f>
        <v/>
      </c>
      <c r="M1158" s="16"/>
      <c r="N1158" s="16"/>
    </row>
    <row r="1159" spans="1:14" x14ac:dyDescent="0.3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6"/>
      <c r="L1159" s="15" t="str">
        <f>IF(E1159="","",IFERROR(INDEX(Aliases!$B$5:$B$80,MATCH(1,INDEX(ISNUMBER(SEARCH(Aliases!$A$5:$A$80,E1159))*(Aliases!$A$5:$A$80&lt;&gt;""),0),0)),"UNMATCHED"))</f>
        <v/>
      </c>
      <c r="M1159" s="16"/>
      <c r="N1159" s="16"/>
    </row>
    <row r="1160" spans="1:14" x14ac:dyDescent="0.3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6"/>
      <c r="L1160" s="15" t="str">
        <f>IF(E1160="","",IFERROR(INDEX(Aliases!$B$5:$B$80,MATCH(1,INDEX(ISNUMBER(SEARCH(Aliases!$A$5:$A$80,E1160))*(Aliases!$A$5:$A$80&lt;&gt;""),0),0)),"UNMATCHED"))</f>
        <v/>
      </c>
      <c r="M1160" s="16"/>
      <c r="N1160" s="16"/>
    </row>
    <row r="1161" spans="1:14" x14ac:dyDescent="0.3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6"/>
      <c r="L1161" s="15" t="str">
        <f>IF(E1161="","",IFERROR(INDEX(Aliases!$B$5:$B$80,MATCH(1,INDEX(ISNUMBER(SEARCH(Aliases!$A$5:$A$80,E1161))*(Aliases!$A$5:$A$80&lt;&gt;""),0),0)),"UNMATCHED"))</f>
        <v/>
      </c>
      <c r="M1161" s="16"/>
      <c r="N1161" s="16"/>
    </row>
    <row r="1162" spans="1:14" x14ac:dyDescent="0.3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6"/>
      <c r="L1162" s="15" t="str">
        <f>IF(E1162="","",IFERROR(INDEX(Aliases!$B$5:$B$80,MATCH(1,INDEX(ISNUMBER(SEARCH(Aliases!$A$5:$A$80,E1162))*(Aliases!$A$5:$A$80&lt;&gt;""),0),0)),"UNMATCHED"))</f>
        <v/>
      </c>
      <c r="M1162" s="16"/>
      <c r="N1162" s="16"/>
    </row>
    <row r="1163" spans="1:14" x14ac:dyDescent="0.3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6"/>
      <c r="L1163" s="15" t="str">
        <f>IF(E1163="","",IFERROR(INDEX(Aliases!$B$5:$B$80,MATCH(1,INDEX(ISNUMBER(SEARCH(Aliases!$A$5:$A$80,E1163))*(Aliases!$A$5:$A$80&lt;&gt;""),0),0)),"UNMATCHED"))</f>
        <v/>
      </c>
      <c r="M1163" s="16"/>
      <c r="N1163" s="16"/>
    </row>
    <row r="1164" spans="1:14" x14ac:dyDescent="0.3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6"/>
      <c r="L1164" s="15" t="str">
        <f>IF(E1164="","",IFERROR(INDEX(Aliases!$B$5:$B$80,MATCH(1,INDEX(ISNUMBER(SEARCH(Aliases!$A$5:$A$80,E1164))*(Aliases!$A$5:$A$80&lt;&gt;""),0),0)),"UNMATCHED"))</f>
        <v/>
      </c>
      <c r="M1164" s="16"/>
      <c r="N1164" s="16"/>
    </row>
    <row r="1165" spans="1:14" x14ac:dyDescent="0.3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6"/>
      <c r="L1165" s="15" t="str">
        <f>IF(E1165="","",IFERROR(INDEX(Aliases!$B$5:$B$80,MATCH(1,INDEX(ISNUMBER(SEARCH(Aliases!$A$5:$A$80,E1165))*(Aliases!$A$5:$A$80&lt;&gt;""),0),0)),"UNMATCHED"))</f>
        <v/>
      </c>
      <c r="M1165" s="16"/>
      <c r="N1165" s="16"/>
    </row>
    <row r="1166" spans="1:14" x14ac:dyDescent="0.3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6"/>
      <c r="L1166" s="15" t="str">
        <f>IF(E1166="","",IFERROR(INDEX(Aliases!$B$5:$B$80,MATCH(1,INDEX(ISNUMBER(SEARCH(Aliases!$A$5:$A$80,E1166))*(Aliases!$A$5:$A$80&lt;&gt;""),0),0)),"UNMATCHED"))</f>
        <v/>
      </c>
      <c r="M1166" s="16"/>
      <c r="N1166" s="16"/>
    </row>
    <row r="1167" spans="1:14" x14ac:dyDescent="0.3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6"/>
      <c r="L1167" s="15" t="str">
        <f>IF(E1167="","",IFERROR(INDEX(Aliases!$B$5:$B$80,MATCH(1,INDEX(ISNUMBER(SEARCH(Aliases!$A$5:$A$80,E1167))*(Aliases!$A$5:$A$80&lt;&gt;""),0),0)),"UNMATCHED"))</f>
        <v/>
      </c>
      <c r="M1167" s="16"/>
      <c r="N1167" s="16"/>
    </row>
    <row r="1168" spans="1:14" x14ac:dyDescent="0.3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6"/>
      <c r="L1168" s="15" t="str">
        <f>IF(E1168="","",IFERROR(INDEX(Aliases!$B$5:$B$80,MATCH(1,INDEX(ISNUMBER(SEARCH(Aliases!$A$5:$A$80,E1168))*(Aliases!$A$5:$A$80&lt;&gt;""),0),0)),"UNMATCHED"))</f>
        <v/>
      </c>
      <c r="M1168" s="16"/>
      <c r="N1168" s="16"/>
    </row>
    <row r="1169" spans="1:14" x14ac:dyDescent="0.3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6"/>
      <c r="L1169" s="15" t="str">
        <f>IF(E1169="","",IFERROR(INDEX(Aliases!$B$5:$B$80,MATCH(1,INDEX(ISNUMBER(SEARCH(Aliases!$A$5:$A$80,E1169))*(Aliases!$A$5:$A$80&lt;&gt;""),0),0)),"UNMATCHED"))</f>
        <v/>
      </c>
      <c r="M1169" s="16"/>
      <c r="N1169" s="16"/>
    </row>
    <row r="1170" spans="1:14" x14ac:dyDescent="0.3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6"/>
      <c r="L1170" s="15" t="str">
        <f>IF(E1170="","",IFERROR(INDEX(Aliases!$B$5:$B$80,MATCH(1,INDEX(ISNUMBER(SEARCH(Aliases!$A$5:$A$80,E1170))*(Aliases!$A$5:$A$80&lt;&gt;""),0),0)),"UNMATCHED"))</f>
        <v/>
      </c>
      <c r="M1170" s="16"/>
      <c r="N1170" s="16"/>
    </row>
    <row r="1171" spans="1:14" x14ac:dyDescent="0.3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6"/>
      <c r="L1171" s="15" t="str">
        <f>IF(E1171="","",IFERROR(INDEX(Aliases!$B$5:$B$80,MATCH(1,INDEX(ISNUMBER(SEARCH(Aliases!$A$5:$A$80,E1171))*(Aliases!$A$5:$A$80&lt;&gt;""),0),0)),"UNMATCHED"))</f>
        <v/>
      </c>
      <c r="M1171" s="16"/>
      <c r="N1171" s="16"/>
    </row>
    <row r="1172" spans="1:14" x14ac:dyDescent="0.3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6"/>
      <c r="L1172" s="15" t="str">
        <f>IF(E1172="","",IFERROR(INDEX(Aliases!$B$5:$B$80,MATCH(1,INDEX(ISNUMBER(SEARCH(Aliases!$A$5:$A$80,E1172))*(Aliases!$A$5:$A$80&lt;&gt;""),0),0)),"UNMATCHED"))</f>
        <v/>
      </c>
      <c r="M1172" s="16"/>
      <c r="N1172" s="16"/>
    </row>
    <row r="1173" spans="1:14" x14ac:dyDescent="0.3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6"/>
      <c r="L1173" s="15" t="str">
        <f>IF(E1173="","",IFERROR(INDEX(Aliases!$B$5:$B$80,MATCH(1,INDEX(ISNUMBER(SEARCH(Aliases!$A$5:$A$80,E1173))*(Aliases!$A$5:$A$80&lt;&gt;""),0),0)),"UNMATCHED"))</f>
        <v/>
      </c>
      <c r="M1173" s="16"/>
      <c r="N1173" s="16"/>
    </row>
    <row r="1174" spans="1:14" x14ac:dyDescent="0.3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6"/>
      <c r="L1174" s="15" t="str">
        <f>IF(E1174="","",IFERROR(INDEX(Aliases!$B$5:$B$80,MATCH(1,INDEX(ISNUMBER(SEARCH(Aliases!$A$5:$A$80,E1174))*(Aliases!$A$5:$A$80&lt;&gt;""),0),0)),"UNMATCHED"))</f>
        <v/>
      </c>
      <c r="M1174" s="16"/>
      <c r="N1174" s="16"/>
    </row>
    <row r="1175" spans="1:14" x14ac:dyDescent="0.3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6"/>
      <c r="L1175" s="15" t="str">
        <f>IF(E1175="","",IFERROR(INDEX(Aliases!$B$5:$B$80,MATCH(1,INDEX(ISNUMBER(SEARCH(Aliases!$A$5:$A$80,E1175))*(Aliases!$A$5:$A$80&lt;&gt;""),0),0)),"UNMATCHED"))</f>
        <v/>
      </c>
      <c r="M1175" s="16"/>
      <c r="N1175" s="16"/>
    </row>
    <row r="1176" spans="1:14" x14ac:dyDescent="0.3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6"/>
      <c r="L1176" s="15" t="str">
        <f>IF(E1176="","",IFERROR(INDEX(Aliases!$B$5:$B$80,MATCH(1,INDEX(ISNUMBER(SEARCH(Aliases!$A$5:$A$80,E1176))*(Aliases!$A$5:$A$80&lt;&gt;""),0),0)),"UNMATCHED"))</f>
        <v/>
      </c>
      <c r="M1176" s="16"/>
      <c r="N1176" s="16"/>
    </row>
    <row r="1177" spans="1:14" x14ac:dyDescent="0.3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6"/>
      <c r="L1177" s="15" t="str">
        <f>IF(E1177="","",IFERROR(INDEX(Aliases!$B$5:$B$80,MATCH(1,INDEX(ISNUMBER(SEARCH(Aliases!$A$5:$A$80,E1177))*(Aliases!$A$5:$A$80&lt;&gt;""),0),0)),"UNMATCHED"))</f>
        <v/>
      </c>
      <c r="M1177" s="16"/>
      <c r="N1177" s="16"/>
    </row>
    <row r="1178" spans="1:14" x14ac:dyDescent="0.3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6"/>
      <c r="L1178" s="15" t="str">
        <f>IF(E1178="","",IFERROR(INDEX(Aliases!$B$5:$B$80,MATCH(1,INDEX(ISNUMBER(SEARCH(Aliases!$A$5:$A$80,E1178))*(Aliases!$A$5:$A$80&lt;&gt;""),0),0)),"UNMATCHED"))</f>
        <v/>
      </c>
      <c r="M1178" s="16"/>
      <c r="N1178" s="16"/>
    </row>
    <row r="1179" spans="1:14" x14ac:dyDescent="0.3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6"/>
      <c r="L1179" s="15" t="str">
        <f>IF(E1179="","",IFERROR(INDEX(Aliases!$B$5:$B$80,MATCH(1,INDEX(ISNUMBER(SEARCH(Aliases!$A$5:$A$80,E1179))*(Aliases!$A$5:$A$80&lt;&gt;""),0),0)),"UNMATCHED"))</f>
        <v/>
      </c>
      <c r="M1179" s="16"/>
      <c r="N1179" s="16"/>
    </row>
    <row r="1180" spans="1:14" x14ac:dyDescent="0.3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6"/>
      <c r="L1180" s="15" t="str">
        <f>IF(E1180="","",IFERROR(INDEX(Aliases!$B$5:$B$80,MATCH(1,INDEX(ISNUMBER(SEARCH(Aliases!$A$5:$A$80,E1180))*(Aliases!$A$5:$A$80&lt;&gt;""),0),0)),"UNMATCHED"))</f>
        <v/>
      </c>
      <c r="M1180" s="16"/>
      <c r="N1180" s="16"/>
    </row>
    <row r="1181" spans="1:14" x14ac:dyDescent="0.3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6"/>
      <c r="L1181" s="15" t="str">
        <f>IF(E1181="","",IFERROR(INDEX(Aliases!$B$5:$B$80,MATCH(1,INDEX(ISNUMBER(SEARCH(Aliases!$A$5:$A$80,E1181))*(Aliases!$A$5:$A$80&lt;&gt;""),0),0)),"UNMATCHED"))</f>
        <v/>
      </c>
      <c r="M1181" s="16"/>
      <c r="N1181" s="16"/>
    </row>
    <row r="1182" spans="1:14" x14ac:dyDescent="0.3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6"/>
      <c r="L1182" s="15" t="str">
        <f>IF(E1182="","",IFERROR(INDEX(Aliases!$B$5:$B$80,MATCH(1,INDEX(ISNUMBER(SEARCH(Aliases!$A$5:$A$80,E1182))*(Aliases!$A$5:$A$80&lt;&gt;""),0),0)),"UNMATCHED"))</f>
        <v/>
      </c>
      <c r="M1182" s="16"/>
      <c r="N1182" s="16"/>
    </row>
    <row r="1183" spans="1:14" x14ac:dyDescent="0.3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6"/>
      <c r="L1183" s="15" t="str">
        <f>IF(E1183="","",IFERROR(INDEX(Aliases!$B$5:$B$80,MATCH(1,INDEX(ISNUMBER(SEARCH(Aliases!$A$5:$A$80,E1183))*(Aliases!$A$5:$A$80&lt;&gt;""),0),0)),"UNMATCHED"))</f>
        <v/>
      </c>
      <c r="M1183" s="16"/>
      <c r="N1183" s="16"/>
    </row>
    <row r="1184" spans="1:14" x14ac:dyDescent="0.3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6"/>
      <c r="L1184" s="15" t="str">
        <f>IF(E1184="","",IFERROR(INDEX(Aliases!$B$5:$B$80,MATCH(1,INDEX(ISNUMBER(SEARCH(Aliases!$A$5:$A$80,E1184))*(Aliases!$A$5:$A$80&lt;&gt;""),0),0)),"UNMATCHED"))</f>
        <v/>
      </c>
      <c r="M1184" s="16"/>
      <c r="N1184" s="16"/>
    </row>
    <row r="1185" spans="1:14" x14ac:dyDescent="0.3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6"/>
      <c r="L1185" s="15" t="str">
        <f>IF(E1185="","",IFERROR(INDEX(Aliases!$B$5:$B$80,MATCH(1,INDEX(ISNUMBER(SEARCH(Aliases!$A$5:$A$80,E1185))*(Aliases!$A$5:$A$80&lt;&gt;""),0),0)),"UNMATCHED"))</f>
        <v/>
      </c>
      <c r="M1185" s="16"/>
      <c r="N1185" s="16"/>
    </row>
    <row r="1186" spans="1:14" x14ac:dyDescent="0.3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6"/>
      <c r="L1186" s="15" t="str">
        <f>IF(E1186="","",IFERROR(INDEX(Aliases!$B$5:$B$80,MATCH(1,INDEX(ISNUMBER(SEARCH(Aliases!$A$5:$A$80,E1186))*(Aliases!$A$5:$A$80&lt;&gt;""),0),0)),"UNMATCHED"))</f>
        <v/>
      </c>
      <c r="M1186" s="16"/>
      <c r="N1186" s="16"/>
    </row>
    <row r="1187" spans="1:14" x14ac:dyDescent="0.3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6"/>
      <c r="L1187" s="15" t="str">
        <f>IF(E1187="","",IFERROR(INDEX(Aliases!$B$5:$B$80,MATCH(1,INDEX(ISNUMBER(SEARCH(Aliases!$A$5:$A$80,E1187))*(Aliases!$A$5:$A$80&lt;&gt;""),0),0)),"UNMATCHED"))</f>
        <v/>
      </c>
      <c r="M1187" s="16"/>
      <c r="N1187" s="16"/>
    </row>
    <row r="1188" spans="1:14" x14ac:dyDescent="0.3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6"/>
      <c r="L1188" s="15" t="str">
        <f>IF(E1188="","",IFERROR(INDEX(Aliases!$B$5:$B$80,MATCH(1,INDEX(ISNUMBER(SEARCH(Aliases!$A$5:$A$80,E1188))*(Aliases!$A$5:$A$80&lt;&gt;""),0),0)),"UNMATCHED"))</f>
        <v/>
      </c>
      <c r="M1188" s="16"/>
      <c r="N1188" s="16"/>
    </row>
    <row r="1189" spans="1:14" x14ac:dyDescent="0.3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6"/>
      <c r="L1189" s="15" t="str">
        <f>IF(E1189="","",IFERROR(INDEX(Aliases!$B$5:$B$80,MATCH(1,INDEX(ISNUMBER(SEARCH(Aliases!$A$5:$A$80,E1189))*(Aliases!$A$5:$A$80&lt;&gt;""),0),0)),"UNMATCHED"))</f>
        <v/>
      </c>
      <c r="M1189" s="16"/>
      <c r="N1189" s="16"/>
    </row>
    <row r="1190" spans="1:14" x14ac:dyDescent="0.3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6"/>
      <c r="L1190" s="15" t="str">
        <f>IF(E1190="","",IFERROR(INDEX(Aliases!$B$5:$B$80,MATCH(1,INDEX(ISNUMBER(SEARCH(Aliases!$A$5:$A$80,E1190))*(Aliases!$A$5:$A$80&lt;&gt;""),0),0)),"UNMATCHED"))</f>
        <v/>
      </c>
      <c r="M1190" s="16"/>
      <c r="N1190" s="16"/>
    </row>
    <row r="1191" spans="1:14" x14ac:dyDescent="0.3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6"/>
      <c r="L1191" s="15" t="str">
        <f>IF(E1191="","",IFERROR(INDEX(Aliases!$B$5:$B$80,MATCH(1,INDEX(ISNUMBER(SEARCH(Aliases!$A$5:$A$80,E1191))*(Aliases!$A$5:$A$80&lt;&gt;""),0),0)),"UNMATCHED"))</f>
        <v/>
      </c>
      <c r="M1191" s="16"/>
      <c r="N1191" s="16"/>
    </row>
    <row r="1192" spans="1:14" x14ac:dyDescent="0.3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6"/>
      <c r="L1192" s="15" t="str">
        <f>IF(E1192="","",IFERROR(INDEX(Aliases!$B$5:$B$80,MATCH(1,INDEX(ISNUMBER(SEARCH(Aliases!$A$5:$A$80,E1192))*(Aliases!$A$5:$A$80&lt;&gt;""),0),0)),"UNMATCHED"))</f>
        <v/>
      </c>
      <c r="M1192" s="16"/>
      <c r="N1192" s="16"/>
    </row>
    <row r="1193" spans="1:14" x14ac:dyDescent="0.3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6"/>
      <c r="L1193" s="15" t="str">
        <f>IF(E1193="","",IFERROR(INDEX(Aliases!$B$5:$B$80,MATCH(1,INDEX(ISNUMBER(SEARCH(Aliases!$A$5:$A$80,E1193))*(Aliases!$A$5:$A$80&lt;&gt;""),0),0)),"UNMATCHED"))</f>
        <v/>
      </c>
      <c r="M1193" s="16"/>
      <c r="N1193" s="16"/>
    </row>
    <row r="1194" spans="1:14" x14ac:dyDescent="0.3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6"/>
      <c r="L1194" s="15" t="str">
        <f>IF(E1194="","",IFERROR(INDEX(Aliases!$B$5:$B$80,MATCH(1,INDEX(ISNUMBER(SEARCH(Aliases!$A$5:$A$80,E1194))*(Aliases!$A$5:$A$80&lt;&gt;""),0),0)),"UNMATCHED"))</f>
        <v/>
      </c>
      <c r="M1194" s="16"/>
      <c r="N1194" s="16"/>
    </row>
    <row r="1195" spans="1:14" x14ac:dyDescent="0.3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6"/>
      <c r="L1195" s="15" t="str">
        <f>IF(E1195="","",IFERROR(INDEX(Aliases!$B$5:$B$80,MATCH(1,INDEX(ISNUMBER(SEARCH(Aliases!$A$5:$A$80,E1195))*(Aliases!$A$5:$A$80&lt;&gt;""),0),0)),"UNMATCHED"))</f>
        <v/>
      </c>
      <c r="M1195" s="16"/>
      <c r="N1195" s="16"/>
    </row>
    <row r="1196" spans="1:14" x14ac:dyDescent="0.3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6"/>
      <c r="L1196" s="15" t="str">
        <f>IF(E1196="","",IFERROR(INDEX(Aliases!$B$5:$B$80,MATCH(1,INDEX(ISNUMBER(SEARCH(Aliases!$A$5:$A$80,E1196))*(Aliases!$A$5:$A$80&lt;&gt;""),0),0)),"UNMATCHED"))</f>
        <v/>
      </c>
      <c r="M1196" s="16"/>
      <c r="N1196" s="16"/>
    </row>
    <row r="1197" spans="1:14" x14ac:dyDescent="0.3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6"/>
      <c r="L1197" s="15" t="str">
        <f>IF(E1197="","",IFERROR(INDEX(Aliases!$B$5:$B$80,MATCH(1,INDEX(ISNUMBER(SEARCH(Aliases!$A$5:$A$80,E1197))*(Aliases!$A$5:$A$80&lt;&gt;""),0),0)),"UNMATCHED"))</f>
        <v/>
      </c>
      <c r="M1197" s="16"/>
      <c r="N1197" s="16"/>
    </row>
    <row r="1198" spans="1:14" x14ac:dyDescent="0.3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6"/>
      <c r="L1198" s="15" t="str">
        <f>IF(E1198="","",IFERROR(INDEX(Aliases!$B$5:$B$80,MATCH(1,INDEX(ISNUMBER(SEARCH(Aliases!$A$5:$A$80,E1198))*(Aliases!$A$5:$A$80&lt;&gt;""),0),0)),"UNMATCHED"))</f>
        <v/>
      </c>
      <c r="M1198" s="16"/>
      <c r="N1198" s="16"/>
    </row>
    <row r="1199" spans="1:14" x14ac:dyDescent="0.3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6"/>
      <c r="L1199" s="15" t="str">
        <f>IF(E1199="","",IFERROR(INDEX(Aliases!$B$5:$B$80,MATCH(1,INDEX(ISNUMBER(SEARCH(Aliases!$A$5:$A$80,E1199))*(Aliases!$A$5:$A$80&lt;&gt;""),0),0)),"UNMATCHED"))</f>
        <v/>
      </c>
      <c r="M1199" s="16"/>
      <c r="N1199" s="16"/>
    </row>
    <row r="1200" spans="1:14" x14ac:dyDescent="0.3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6"/>
      <c r="L1200" s="15" t="str">
        <f>IF(E1200="","",IFERROR(INDEX(Aliases!$B$5:$B$80,MATCH(1,INDEX(ISNUMBER(SEARCH(Aliases!$A$5:$A$80,E1200))*(Aliases!$A$5:$A$80&lt;&gt;""),0),0)),"UNMATCHED"))</f>
        <v/>
      </c>
      <c r="M1200" s="16"/>
      <c r="N1200" s="16"/>
    </row>
    <row r="1201" spans="1:14" x14ac:dyDescent="0.3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6"/>
      <c r="L1201" s="15" t="str">
        <f>IF(E1201="","",IFERROR(INDEX(Aliases!$B$5:$B$80,MATCH(1,INDEX(ISNUMBER(SEARCH(Aliases!$A$5:$A$80,E1201))*(Aliases!$A$5:$A$80&lt;&gt;""),0),0)),"UNMATCHED"))</f>
        <v/>
      </c>
      <c r="M1201" s="16"/>
      <c r="N1201" s="16"/>
    </row>
    <row r="1202" spans="1:14" x14ac:dyDescent="0.3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6"/>
      <c r="L1202" s="15" t="str">
        <f>IF(E1202="","",IFERROR(INDEX(Aliases!$B$5:$B$80,MATCH(1,INDEX(ISNUMBER(SEARCH(Aliases!$A$5:$A$80,E1202))*(Aliases!$A$5:$A$80&lt;&gt;""),0),0)),"UNMATCHED"))</f>
        <v/>
      </c>
      <c r="M1202" s="16"/>
      <c r="N1202" s="16"/>
    </row>
    <row r="1203" spans="1:14" x14ac:dyDescent="0.3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6"/>
      <c r="L1203" s="15" t="str">
        <f>IF(E1203="","",IFERROR(INDEX(Aliases!$B$5:$B$80,MATCH(1,INDEX(ISNUMBER(SEARCH(Aliases!$A$5:$A$80,E1203))*(Aliases!$A$5:$A$80&lt;&gt;""),0),0)),"UNMATCHED"))</f>
        <v/>
      </c>
      <c r="M1203" s="16"/>
      <c r="N1203" s="16"/>
    </row>
    <row r="1204" spans="1:14" x14ac:dyDescent="0.3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6"/>
      <c r="L1204" s="15" t="str">
        <f>IF(E1204="","",IFERROR(INDEX(Aliases!$B$5:$B$80,MATCH(1,INDEX(ISNUMBER(SEARCH(Aliases!$A$5:$A$80,E1204))*(Aliases!$A$5:$A$80&lt;&gt;""),0),0)),"UNMATCHED"))</f>
        <v/>
      </c>
      <c r="M1204" s="16"/>
      <c r="N1204" s="16"/>
    </row>
    <row r="1205" spans="1:14" x14ac:dyDescent="0.3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6"/>
      <c r="L1205" s="15" t="str">
        <f>IF(E1205="","",IFERROR(INDEX(Aliases!$B$5:$B$80,MATCH(1,INDEX(ISNUMBER(SEARCH(Aliases!$A$5:$A$80,E1205))*(Aliases!$A$5:$A$80&lt;&gt;""),0),0)),"UNMATCHED"))</f>
        <v/>
      </c>
      <c r="M1205" s="16"/>
      <c r="N1205" s="16"/>
    </row>
    <row r="1206" spans="1:14" x14ac:dyDescent="0.3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6"/>
      <c r="L1206" s="15" t="str">
        <f>IF(E1206="","",IFERROR(INDEX(Aliases!$B$5:$B$80,MATCH(1,INDEX(ISNUMBER(SEARCH(Aliases!$A$5:$A$80,E1206))*(Aliases!$A$5:$A$80&lt;&gt;""),0),0)),"UNMATCHED"))</f>
        <v/>
      </c>
      <c r="M1206" s="16"/>
      <c r="N1206" s="16"/>
    </row>
    <row r="1207" spans="1:14" x14ac:dyDescent="0.3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6"/>
      <c r="L1207" s="15" t="str">
        <f>IF(E1207="","",IFERROR(INDEX(Aliases!$B$5:$B$80,MATCH(1,INDEX(ISNUMBER(SEARCH(Aliases!$A$5:$A$80,E1207))*(Aliases!$A$5:$A$80&lt;&gt;""),0),0)),"UNMATCHED"))</f>
        <v/>
      </c>
      <c r="M1207" s="16"/>
      <c r="N1207" s="16"/>
    </row>
    <row r="1208" spans="1:14" x14ac:dyDescent="0.3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6"/>
      <c r="L1208" s="15" t="str">
        <f>IF(E1208="","",IFERROR(INDEX(Aliases!$B$5:$B$80,MATCH(1,INDEX(ISNUMBER(SEARCH(Aliases!$A$5:$A$80,E1208))*(Aliases!$A$5:$A$80&lt;&gt;""),0),0)),"UNMATCHED"))</f>
        <v/>
      </c>
      <c r="M1208" s="16"/>
      <c r="N1208" s="16"/>
    </row>
    <row r="1209" spans="1:14" x14ac:dyDescent="0.3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6"/>
      <c r="L1209" s="15" t="str">
        <f>IF(E1209="","",IFERROR(INDEX(Aliases!$B$5:$B$80,MATCH(1,INDEX(ISNUMBER(SEARCH(Aliases!$A$5:$A$80,E1209))*(Aliases!$A$5:$A$80&lt;&gt;""),0),0)),"UNMATCHED"))</f>
        <v/>
      </c>
      <c r="M1209" s="16"/>
      <c r="N1209" s="16"/>
    </row>
    <row r="1210" spans="1:14" x14ac:dyDescent="0.3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6"/>
      <c r="L1210" s="15" t="str">
        <f>IF(E1210="","",IFERROR(INDEX(Aliases!$B$5:$B$80,MATCH(1,INDEX(ISNUMBER(SEARCH(Aliases!$A$5:$A$80,E1210))*(Aliases!$A$5:$A$80&lt;&gt;""),0),0)),"UNMATCHED"))</f>
        <v/>
      </c>
      <c r="M1210" s="16"/>
      <c r="N1210" s="16"/>
    </row>
    <row r="1211" spans="1:14" x14ac:dyDescent="0.3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6"/>
      <c r="L1211" s="15" t="str">
        <f>IF(E1211="","",IFERROR(INDEX(Aliases!$B$5:$B$80,MATCH(1,INDEX(ISNUMBER(SEARCH(Aliases!$A$5:$A$80,E1211))*(Aliases!$A$5:$A$80&lt;&gt;""),0),0)),"UNMATCHED"))</f>
        <v/>
      </c>
      <c r="M1211" s="16"/>
      <c r="N1211" s="16"/>
    </row>
    <row r="1212" spans="1:14" x14ac:dyDescent="0.3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6"/>
      <c r="L1212" s="15" t="str">
        <f>IF(E1212="","",IFERROR(INDEX(Aliases!$B$5:$B$80,MATCH(1,INDEX(ISNUMBER(SEARCH(Aliases!$A$5:$A$80,E1212))*(Aliases!$A$5:$A$80&lt;&gt;""),0),0)),"UNMATCHED"))</f>
        <v/>
      </c>
      <c r="M1212" s="16"/>
      <c r="N1212" s="16"/>
    </row>
    <row r="1213" spans="1:14" x14ac:dyDescent="0.3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6"/>
      <c r="L1213" s="15" t="str">
        <f>IF(E1213="","",IFERROR(INDEX(Aliases!$B$5:$B$80,MATCH(1,INDEX(ISNUMBER(SEARCH(Aliases!$A$5:$A$80,E1213))*(Aliases!$A$5:$A$80&lt;&gt;""),0),0)),"UNMATCHED"))</f>
        <v/>
      </c>
      <c r="M1213" s="16"/>
      <c r="N1213" s="16"/>
    </row>
    <row r="1214" spans="1:14" x14ac:dyDescent="0.3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6"/>
      <c r="L1214" s="15" t="str">
        <f>IF(E1214="","",IFERROR(INDEX(Aliases!$B$5:$B$80,MATCH(1,INDEX(ISNUMBER(SEARCH(Aliases!$A$5:$A$80,E1214))*(Aliases!$A$5:$A$80&lt;&gt;""),0),0)),"UNMATCHED"))</f>
        <v/>
      </c>
      <c r="M1214" s="16"/>
      <c r="N1214" s="16"/>
    </row>
    <row r="1215" spans="1:14" x14ac:dyDescent="0.3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6"/>
      <c r="L1215" s="15" t="str">
        <f>IF(E1215="","",IFERROR(INDEX(Aliases!$B$5:$B$80,MATCH(1,INDEX(ISNUMBER(SEARCH(Aliases!$A$5:$A$80,E1215))*(Aliases!$A$5:$A$80&lt;&gt;""),0),0)),"UNMATCHED"))</f>
        <v/>
      </c>
      <c r="M1215" s="16"/>
      <c r="N1215" s="16"/>
    </row>
    <row r="1216" spans="1:14" x14ac:dyDescent="0.3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6"/>
      <c r="L1216" s="15" t="str">
        <f>IF(E1216="","",IFERROR(INDEX(Aliases!$B$5:$B$80,MATCH(1,INDEX(ISNUMBER(SEARCH(Aliases!$A$5:$A$80,E1216))*(Aliases!$A$5:$A$80&lt;&gt;""),0),0)),"UNMATCHED"))</f>
        <v/>
      </c>
      <c r="M1216" s="16"/>
      <c r="N1216" s="16"/>
    </row>
    <row r="1217" spans="1:14" x14ac:dyDescent="0.3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6"/>
      <c r="L1217" s="15" t="str">
        <f>IF(E1217="","",IFERROR(INDEX(Aliases!$B$5:$B$80,MATCH(1,INDEX(ISNUMBER(SEARCH(Aliases!$A$5:$A$80,E1217))*(Aliases!$A$5:$A$80&lt;&gt;""),0),0)),"UNMATCHED"))</f>
        <v/>
      </c>
      <c r="M1217" s="16"/>
      <c r="N1217" s="16"/>
    </row>
    <row r="1218" spans="1:14" x14ac:dyDescent="0.3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6"/>
      <c r="L1218" s="15" t="str">
        <f>IF(E1218="","",IFERROR(INDEX(Aliases!$B$5:$B$80,MATCH(1,INDEX(ISNUMBER(SEARCH(Aliases!$A$5:$A$80,E1218))*(Aliases!$A$5:$A$80&lt;&gt;""),0),0)),"UNMATCHED"))</f>
        <v/>
      </c>
      <c r="M1218" s="16"/>
      <c r="N1218" s="16"/>
    </row>
    <row r="1219" spans="1:14" x14ac:dyDescent="0.3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6"/>
      <c r="L1219" s="15" t="str">
        <f>IF(E1219="","",IFERROR(INDEX(Aliases!$B$5:$B$80,MATCH(1,INDEX(ISNUMBER(SEARCH(Aliases!$A$5:$A$80,E1219))*(Aliases!$A$5:$A$80&lt;&gt;""),0),0)),"UNMATCHED"))</f>
        <v/>
      </c>
      <c r="M1219" s="16"/>
      <c r="N1219" s="16"/>
    </row>
    <row r="1220" spans="1:14" x14ac:dyDescent="0.3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6"/>
      <c r="L1220" s="15" t="str">
        <f>IF(E1220="","",IFERROR(INDEX(Aliases!$B$5:$B$80,MATCH(1,INDEX(ISNUMBER(SEARCH(Aliases!$A$5:$A$80,E1220))*(Aliases!$A$5:$A$80&lt;&gt;""),0),0)),"UNMATCHED"))</f>
        <v/>
      </c>
      <c r="M1220" s="16"/>
      <c r="N1220" s="16"/>
    </row>
    <row r="1221" spans="1:14" x14ac:dyDescent="0.3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6"/>
      <c r="L1221" s="15" t="str">
        <f>IF(E1221="","",IFERROR(INDEX(Aliases!$B$5:$B$80,MATCH(1,INDEX(ISNUMBER(SEARCH(Aliases!$A$5:$A$80,E1221))*(Aliases!$A$5:$A$80&lt;&gt;""),0),0)),"UNMATCHED"))</f>
        <v/>
      </c>
      <c r="M1221" s="16"/>
      <c r="N1221" s="16"/>
    </row>
    <row r="1222" spans="1:14" x14ac:dyDescent="0.3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6"/>
      <c r="L1222" s="15" t="str">
        <f>IF(E1222="","",IFERROR(INDEX(Aliases!$B$5:$B$80,MATCH(1,INDEX(ISNUMBER(SEARCH(Aliases!$A$5:$A$80,E1222))*(Aliases!$A$5:$A$80&lt;&gt;""),0),0)),"UNMATCHED"))</f>
        <v/>
      </c>
      <c r="M1222" s="16"/>
      <c r="N1222" s="16"/>
    </row>
    <row r="1223" spans="1:14" x14ac:dyDescent="0.3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6"/>
      <c r="L1223" s="15" t="str">
        <f>IF(E1223="","",IFERROR(INDEX(Aliases!$B$5:$B$80,MATCH(1,INDEX(ISNUMBER(SEARCH(Aliases!$A$5:$A$80,E1223))*(Aliases!$A$5:$A$80&lt;&gt;""),0),0)),"UNMATCHED"))</f>
        <v/>
      </c>
      <c r="M1223" s="16"/>
      <c r="N1223" s="16"/>
    </row>
    <row r="1224" spans="1:14" x14ac:dyDescent="0.3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6"/>
      <c r="L1224" s="15" t="str">
        <f>IF(E1224="","",IFERROR(INDEX(Aliases!$B$5:$B$80,MATCH(1,INDEX(ISNUMBER(SEARCH(Aliases!$A$5:$A$80,E1224))*(Aliases!$A$5:$A$80&lt;&gt;""),0),0)),"UNMATCHED"))</f>
        <v/>
      </c>
      <c r="M1224" s="16"/>
      <c r="N1224" s="16"/>
    </row>
    <row r="1225" spans="1:14" x14ac:dyDescent="0.3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6"/>
      <c r="L1225" s="15" t="str">
        <f>IF(E1225="","",IFERROR(INDEX(Aliases!$B$5:$B$80,MATCH(1,INDEX(ISNUMBER(SEARCH(Aliases!$A$5:$A$80,E1225))*(Aliases!$A$5:$A$80&lt;&gt;""),0),0)),"UNMATCHED"))</f>
        <v/>
      </c>
      <c r="M1225" s="16"/>
      <c r="N1225" s="16"/>
    </row>
    <row r="1226" spans="1:14" x14ac:dyDescent="0.3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6"/>
      <c r="L1226" s="15" t="str">
        <f>IF(E1226="","",IFERROR(INDEX(Aliases!$B$5:$B$80,MATCH(1,INDEX(ISNUMBER(SEARCH(Aliases!$A$5:$A$80,E1226))*(Aliases!$A$5:$A$80&lt;&gt;""),0),0)),"UNMATCHED"))</f>
        <v/>
      </c>
      <c r="M1226" s="16"/>
      <c r="N1226" s="16"/>
    </row>
    <row r="1227" spans="1:14" x14ac:dyDescent="0.3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6"/>
      <c r="L1227" s="15" t="str">
        <f>IF(E1227="","",IFERROR(INDEX(Aliases!$B$5:$B$80,MATCH(1,INDEX(ISNUMBER(SEARCH(Aliases!$A$5:$A$80,E1227))*(Aliases!$A$5:$A$80&lt;&gt;""),0),0)),"UNMATCHED"))</f>
        <v/>
      </c>
      <c r="M1227" s="16"/>
      <c r="N1227" s="16"/>
    </row>
    <row r="1228" spans="1:14" x14ac:dyDescent="0.3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6"/>
      <c r="L1228" s="15" t="str">
        <f>IF(E1228="","",IFERROR(INDEX(Aliases!$B$5:$B$80,MATCH(1,INDEX(ISNUMBER(SEARCH(Aliases!$A$5:$A$80,E1228))*(Aliases!$A$5:$A$80&lt;&gt;""),0),0)),"UNMATCHED"))</f>
        <v/>
      </c>
      <c r="M1228" s="16"/>
      <c r="N1228" s="16"/>
    </row>
    <row r="1229" spans="1:14" x14ac:dyDescent="0.3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6"/>
      <c r="L1229" s="15" t="str">
        <f>IF(E1229="","",IFERROR(INDEX(Aliases!$B$5:$B$80,MATCH(1,INDEX(ISNUMBER(SEARCH(Aliases!$A$5:$A$80,E1229))*(Aliases!$A$5:$A$80&lt;&gt;""),0),0)),"UNMATCHED"))</f>
        <v/>
      </c>
      <c r="M1229" s="16"/>
      <c r="N1229" s="16"/>
    </row>
    <row r="1230" spans="1:14" x14ac:dyDescent="0.3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6"/>
      <c r="L1230" s="15" t="str">
        <f>IF(E1230="","",IFERROR(INDEX(Aliases!$B$5:$B$80,MATCH(1,INDEX(ISNUMBER(SEARCH(Aliases!$A$5:$A$80,E1230))*(Aliases!$A$5:$A$80&lt;&gt;""),0),0)),"UNMATCHED"))</f>
        <v/>
      </c>
      <c r="M1230" s="16"/>
      <c r="N1230" s="16"/>
    </row>
    <row r="1231" spans="1:14" x14ac:dyDescent="0.3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6"/>
      <c r="L1231" s="15" t="str">
        <f>IF(E1231="","",IFERROR(INDEX(Aliases!$B$5:$B$80,MATCH(1,INDEX(ISNUMBER(SEARCH(Aliases!$A$5:$A$80,E1231))*(Aliases!$A$5:$A$80&lt;&gt;""),0),0)),"UNMATCHED"))</f>
        <v/>
      </c>
      <c r="M1231" s="16"/>
      <c r="N1231" s="16"/>
    </row>
    <row r="1232" spans="1:14" x14ac:dyDescent="0.3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6"/>
      <c r="L1232" s="15" t="str">
        <f>IF(E1232="","",IFERROR(INDEX(Aliases!$B$5:$B$80,MATCH(1,INDEX(ISNUMBER(SEARCH(Aliases!$A$5:$A$80,E1232))*(Aliases!$A$5:$A$80&lt;&gt;""),0),0)),"UNMATCHED"))</f>
        <v/>
      </c>
      <c r="M1232" s="16"/>
      <c r="N1232" s="16"/>
    </row>
    <row r="1233" spans="1:14" x14ac:dyDescent="0.3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6"/>
      <c r="L1233" s="15" t="str">
        <f>IF(E1233="","",IFERROR(INDEX(Aliases!$B$5:$B$80,MATCH(1,INDEX(ISNUMBER(SEARCH(Aliases!$A$5:$A$80,E1233))*(Aliases!$A$5:$A$80&lt;&gt;""),0),0)),"UNMATCHED"))</f>
        <v/>
      </c>
      <c r="M1233" s="16"/>
      <c r="N1233" s="16"/>
    </row>
    <row r="1234" spans="1:14" x14ac:dyDescent="0.3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6"/>
      <c r="L1234" s="15" t="str">
        <f>IF(E1234="","",IFERROR(INDEX(Aliases!$B$5:$B$80,MATCH(1,INDEX(ISNUMBER(SEARCH(Aliases!$A$5:$A$80,E1234))*(Aliases!$A$5:$A$80&lt;&gt;""),0),0)),"UNMATCHED"))</f>
        <v/>
      </c>
      <c r="M1234" s="16"/>
      <c r="N1234" s="16"/>
    </row>
    <row r="1235" spans="1:14" x14ac:dyDescent="0.3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6"/>
      <c r="L1235" s="15" t="str">
        <f>IF(E1235="","",IFERROR(INDEX(Aliases!$B$5:$B$80,MATCH(1,INDEX(ISNUMBER(SEARCH(Aliases!$A$5:$A$80,E1235))*(Aliases!$A$5:$A$80&lt;&gt;""),0),0)),"UNMATCHED"))</f>
        <v/>
      </c>
      <c r="M1235" s="16"/>
      <c r="N1235" s="16"/>
    </row>
    <row r="1236" spans="1:14" x14ac:dyDescent="0.3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6"/>
      <c r="L1236" s="15" t="str">
        <f>IF(E1236="","",IFERROR(INDEX(Aliases!$B$5:$B$80,MATCH(1,INDEX(ISNUMBER(SEARCH(Aliases!$A$5:$A$80,E1236))*(Aliases!$A$5:$A$80&lt;&gt;""),0),0)),"UNMATCHED"))</f>
        <v/>
      </c>
      <c r="M1236" s="16"/>
      <c r="N1236" s="16"/>
    </row>
    <row r="1237" spans="1:14" x14ac:dyDescent="0.3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6"/>
      <c r="L1237" s="15" t="str">
        <f>IF(E1237="","",IFERROR(INDEX(Aliases!$B$5:$B$80,MATCH(1,INDEX(ISNUMBER(SEARCH(Aliases!$A$5:$A$80,E1237))*(Aliases!$A$5:$A$80&lt;&gt;""),0),0)),"UNMATCHED"))</f>
        <v/>
      </c>
      <c r="M1237" s="16"/>
      <c r="N1237" s="16"/>
    </row>
    <row r="1238" spans="1:14" x14ac:dyDescent="0.3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6"/>
      <c r="L1238" s="15" t="str">
        <f>IF(E1238="","",IFERROR(INDEX(Aliases!$B$5:$B$80,MATCH(1,INDEX(ISNUMBER(SEARCH(Aliases!$A$5:$A$80,E1238))*(Aliases!$A$5:$A$80&lt;&gt;""),0),0)),"UNMATCHED"))</f>
        <v/>
      </c>
      <c r="M1238" s="16"/>
      <c r="N1238" s="16"/>
    </row>
    <row r="1239" spans="1:14" x14ac:dyDescent="0.3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6"/>
      <c r="L1239" s="15" t="str">
        <f>IF(E1239="","",IFERROR(INDEX(Aliases!$B$5:$B$80,MATCH(1,INDEX(ISNUMBER(SEARCH(Aliases!$A$5:$A$80,E1239))*(Aliases!$A$5:$A$80&lt;&gt;""),0),0)),"UNMATCHED"))</f>
        <v/>
      </c>
      <c r="M1239" s="16"/>
      <c r="N1239" s="16"/>
    </row>
    <row r="1240" spans="1:14" x14ac:dyDescent="0.3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6"/>
      <c r="L1240" s="15" t="str">
        <f>IF(E1240="","",IFERROR(INDEX(Aliases!$B$5:$B$80,MATCH(1,INDEX(ISNUMBER(SEARCH(Aliases!$A$5:$A$80,E1240))*(Aliases!$A$5:$A$80&lt;&gt;""),0),0)),"UNMATCHED"))</f>
        <v/>
      </c>
      <c r="M1240" s="16"/>
      <c r="N1240" s="16"/>
    </row>
    <row r="1241" spans="1:14" x14ac:dyDescent="0.3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6"/>
      <c r="L1241" s="15" t="str">
        <f>IF(E1241="","",IFERROR(INDEX(Aliases!$B$5:$B$80,MATCH(1,INDEX(ISNUMBER(SEARCH(Aliases!$A$5:$A$80,E1241))*(Aliases!$A$5:$A$80&lt;&gt;""),0),0)),"UNMATCHED"))</f>
        <v/>
      </c>
      <c r="M1241" s="16"/>
      <c r="N1241" s="16"/>
    </row>
    <row r="1242" spans="1:14" x14ac:dyDescent="0.3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6"/>
      <c r="L1242" s="15" t="str">
        <f>IF(E1242="","",IFERROR(INDEX(Aliases!$B$5:$B$80,MATCH(1,INDEX(ISNUMBER(SEARCH(Aliases!$A$5:$A$80,E1242))*(Aliases!$A$5:$A$80&lt;&gt;""),0),0)),"UNMATCHED"))</f>
        <v/>
      </c>
      <c r="M1242" s="16"/>
      <c r="N1242" s="16"/>
    </row>
    <row r="1243" spans="1:14" x14ac:dyDescent="0.3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6"/>
      <c r="L1243" s="15" t="str">
        <f>IF(E1243="","",IFERROR(INDEX(Aliases!$B$5:$B$80,MATCH(1,INDEX(ISNUMBER(SEARCH(Aliases!$A$5:$A$80,E1243))*(Aliases!$A$5:$A$80&lt;&gt;""),0),0)),"UNMATCHED"))</f>
        <v/>
      </c>
      <c r="M1243" s="16"/>
      <c r="N1243" s="16"/>
    </row>
    <row r="1244" spans="1:14" x14ac:dyDescent="0.3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6"/>
      <c r="L1244" s="15" t="str">
        <f>IF(E1244="","",IFERROR(INDEX(Aliases!$B$5:$B$80,MATCH(1,INDEX(ISNUMBER(SEARCH(Aliases!$A$5:$A$80,E1244))*(Aliases!$A$5:$A$80&lt;&gt;""),0),0)),"UNMATCHED"))</f>
        <v/>
      </c>
      <c r="M1244" s="16"/>
      <c r="N1244" s="16"/>
    </row>
    <row r="1245" spans="1:14" x14ac:dyDescent="0.3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6"/>
      <c r="L1245" s="15" t="str">
        <f>IF(E1245="","",IFERROR(INDEX(Aliases!$B$5:$B$80,MATCH(1,INDEX(ISNUMBER(SEARCH(Aliases!$A$5:$A$80,E1245))*(Aliases!$A$5:$A$80&lt;&gt;""),0),0)),"UNMATCHED"))</f>
        <v/>
      </c>
      <c r="M1245" s="16"/>
      <c r="N1245" s="16"/>
    </row>
    <row r="1246" spans="1:14" x14ac:dyDescent="0.3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6"/>
      <c r="L1246" s="15" t="str">
        <f>IF(E1246="","",IFERROR(INDEX(Aliases!$B$5:$B$80,MATCH(1,INDEX(ISNUMBER(SEARCH(Aliases!$A$5:$A$80,E1246))*(Aliases!$A$5:$A$80&lt;&gt;""),0),0)),"UNMATCHED"))</f>
        <v/>
      </c>
      <c r="M1246" s="16"/>
      <c r="N1246" s="16"/>
    </row>
    <row r="1247" spans="1:14" x14ac:dyDescent="0.3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6"/>
      <c r="L1247" s="15" t="str">
        <f>IF(E1247="","",IFERROR(INDEX(Aliases!$B$5:$B$80,MATCH(1,INDEX(ISNUMBER(SEARCH(Aliases!$A$5:$A$80,E1247))*(Aliases!$A$5:$A$80&lt;&gt;""),0),0)),"UNMATCHED"))</f>
        <v/>
      </c>
      <c r="M1247" s="16"/>
      <c r="N1247" s="16"/>
    </row>
    <row r="1248" spans="1:14" x14ac:dyDescent="0.3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6"/>
      <c r="L1248" s="15" t="str">
        <f>IF(E1248="","",IFERROR(INDEX(Aliases!$B$5:$B$80,MATCH(1,INDEX(ISNUMBER(SEARCH(Aliases!$A$5:$A$80,E1248))*(Aliases!$A$5:$A$80&lt;&gt;""),0),0)),"UNMATCHED"))</f>
        <v/>
      </c>
      <c r="M1248" s="16"/>
      <c r="N1248" s="16"/>
    </row>
    <row r="1249" spans="1:14" x14ac:dyDescent="0.3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6"/>
      <c r="L1249" s="15" t="str">
        <f>IF(E1249="","",IFERROR(INDEX(Aliases!$B$5:$B$80,MATCH(1,INDEX(ISNUMBER(SEARCH(Aliases!$A$5:$A$80,E1249))*(Aliases!$A$5:$A$80&lt;&gt;""),0),0)),"UNMATCHED"))</f>
        <v/>
      </c>
      <c r="M1249" s="16"/>
      <c r="N1249" s="16"/>
    </row>
    <row r="1250" spans="1:14" x14ac:dyDescent="0.3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6"/>
      <c r="L1250" s="15" t="str">
        <f>IF(E1250="","",IFERROR(INDEX(Aliases!$B$5:$B$80,MATCH(1,INDEX(ISNUMBER(SEARCH(Aliases!$A$5:$A$80,E1250))*(Aliases!$A$5:$A$80&lt;&gt;""),0),0)),"UNMATCHED"))</f>
        <v/>
      </c>
      <c r="M1250" s="16"/>
      <c r="N1250" s="16"/>
    </row>
    <row r="1251" spans="1:14" x14ac:dyDescent="0.3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6"/>
      <c r="L1251" s="15" t="str">
        <f>IF(E1251="","",IFERROR(INDEX(Aliases!$B$5:$B$80,MATCH(1,INDEX(ISNUMBER(SEARCH(Aliases!$A$5:$A$80,E1251))*(Aliases!$A$5:$A$80&lt;&gt;""),0),0)),"UNMATCHED"))</f>
        <v/>
      </c>
      <c r="M1251" s="16"/>
      <c r="N1251" s="16"/>
    </row>
    <row r="1252" spans="1:14" x14ac:dyDescent="0.3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6"/>
      <c r="L1252" s="15" t="str">
        <f>IF(E1252="","",IFERROR(INDEX(Aliases!$B$5:$B$80,MATCH(1,INDEX(ISNUMBER(SEARCH(Aliases!$A$5:$A$80,E1252))*(Aliases!$A$5:$A$80&lt;&gt;""),0),0)),"UNMATCHED"))</f>
        <v/>
      </c>
      <c r="M1252" s="16"/>
      <c r="N1252" s="16"/>
    </row>
    <row r="1253" spans="1:14" x14ac:dyDescent="0.3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6"/>
      <c r="L1253" s="15" t="str">
        <f>IF(E1253="","",IFERROR(INDEX(Aliases!$B$5:$B$80,MATCH(1,INDEX(ISNUMBER(SEARCH(Aliases!$A$5:$A$80,E1253))*(Aliases!$A$5:$A$80&lt;&gt;""),0),0)),"UNMATCHED"))</f>
        <v/>
      </c>
      <c r="M1253" s="16"/>
      <c r="N1253" s="16"/>
    </row>
    <row r="1254" spans="1:14" x14ac:dyDescent="0.3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6"/>
      <c r="L1254" s="15" t="str">
        <f>IF(E1254="","",IFERROR(INDEX(Aliases!$B$5:$B$80,MATCH(1,INDEX(ISNUMBER(SEARCH(Aliases!$A$5:$A$80,E1254))*(Aliases!$A$5:$A$80&lt;&gt;""),0),0)),"UNMATCHED"))</f>
        <v/>
      </c>
      <c r="M1254" s="16"/>
      <c r="N1254" s="16"/>
    </row>
    <row r="1255" spans="1:14" x14ac:dyDescent="0.3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6"/>
      <c r="L1255" s="15" t="str">
        <f>IF(E1255="","",IFERROR(INDEX(Aliases!$B$5:$B$80,MATCH(1,INDEX(ISNUMBER(SEARCH(Aliases!$A$5:$A$80,E1255))*(Aliases!$A$5:$A$80&lt;&gt;""),0),0)),"UNMATCHED"))</f>
        <v/>
      </c>
      <c r="M1255" s="16"/>
      <c r="N1255" s="16"/>
    </row>
    <row r="1256" spans="1:14" x14ac:dyDescent="0.3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6"/>
      <c r="L1256" s="15" t="str">
        <f>IF(E1256="","",IFERROR(INDEX(Aliases!$B$5:$B$80,MATCH(1,INDEX(ISNUMBER(SEARCH(Aliases!$A$5:$A$80,E1256))*(Aliases!$A$5:$A$80&lt;&gt;""),0),0)),"UNMATCHED"))</f>
        <v/>
      </c>
      <c r="M1256" s="16"/>
      <c r="N1256" s="16"/>
    </row>
    <row r="1257" spans="1:14" x14ac:dyDescent="0.3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6"/>
      <c r="L1257" s="15" t="str">
        <f>IF(E1257="","",IFERROR(INDEX(Aliases!$B$5:$B$80,MATCH(1,INDEX(ISNUMBER(SEARCH(Aliases!$A$5:$A$80,E1257))*(Aliases!$A$5:$A$80&lt;&gt;""),0),0)),"UNMATCHED"))</f>
        <v/>
      </c>
      <c r="M1257" s="16"/>
      <c r="N1257" s="16"/>
    </row>
    <row r="1258" spans="1:14" x14ac:dyDescent="0.3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6"/>
      <c r="L1258" s="15" t="str">
        <f>IF(E1258="","",IFERROR(INDEX(Aliases!$B$5:$B$80,MATCH(1,INDEX(ISNUMBER(SEARCH(Aliases!$A$5:$A$80,E1258))*(Aliases!$A$5:$A$80&lt;&gt;""),0),0)),"UNMATCHED"))</f>
        <v/>
      </c>
      <c r="M1258" s="16"/>
      <c r="N1258" s="16"/>
    </row>
    <row r="1259" spans="1:14" x14ac:dyDescent="0.3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6"/>
      <c r="L1259" s="15" t="str">
        <f>IF(E1259="","",IFERROR(INDEX(Aliases!$B$5:$B$80,MATCH(1,INDEX(ISNUMBER(SEARCH(Aliases!$A$5:$A$80,E1259))*(Aliases!$A$5:$A$80&lt;&gt;""),0),0)),"UNMATCHED"))</f>
        <v/>
      </c>
      <c r="M1259" s="16"/>
      <c r="N1259" s="16"/>
    </row>
    <row r="1260" spans="1:14" x14ac:dyDescent="0.3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6"/>
      <c r="L1260" s="15" t="str">
        <f>IF(E1260="","",IFERROR(INDEX(Aliases!$B$5:$B$80,MATCH(1,INDEX(ISNUMBER(SEARCH(Aliases!$A$5:$A$80,E1260))*(Aliases!$A$5:$A$80&lt;&gt;""),0),0)),"UNMATCHED"))</f>
        <v/>
      </c>
      <c r="M1260" s="16"/>
      <c r="N1260" s="16"/>
    </row>
    <row r="1261" spans="1:14" x14ac:dyDescent="0.3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6"/>
      <c r="L1261" s="15" t="str">
        <f>IF(E1261="","",IFERROR(INDEX(Aliases!$B$5:$B$80,MATCH(1,INDEX(ISNUMBER(SEARCH(Aliases!$A$5:$A$80,E1261))*(Aliases!$A$5:$A$80&lt;&gt;""),0),0)),"UNMATCHED"))</f>
        <v/>
      </c>
      <c r="M1261" s="16"/>
      <c r="N1261" s="16"/>
    </row>
    <row r="1262" spans="1:14" x14ac:dyDescent="0.3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6"/>
      <c r="L1262" s="15" t="str">
        <f>IF(E1262="","",IFERROR(INDEX(Aliases!$B$5:$B$80,MATCH(1,INDEX(ISNUMBER(SEARCH(Aliases!$A$5:$A$80,E1262))*(Aliases!$A$5:$A$80&lt;&gt;""),0),0)),"UNMATCHED"))</f>
        <v/>
      </c>
      <c r="M1262" s="16"/>
      <c r="N1262" s="16"/>
    </row>
    <row r="1263" spans="1:14" x14ac:dyDescent="0.3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6"/>
      <c r="L1263" s="15" t="str">
        <f>IF(E1263="","",IFERROR(INDEX(Aliases!$B$5:$B$80,MATCH(1,INDEX(ISNUMBER(SEARCH(Aliases!$A$5:$A$80,E1263))*(Aliases!$A$5:$A$80&lt;&gt;""),0),0)),"UNMATCHED"))</f>
        <v/>
      </c>
      <c r="M1263" s="16"/>
      <c r="N1263" s="16"/>
    </row>
    <row r="1264" spans="1:14" x14ac:dyDescent="0.3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6"/>
      <c r="L1264" s="15" t="str">
        <f>IF(E1264="","",IFERROR(INDEX(Aliases!$B$5:$B$80,MATCH(1,INDEX(ISNUMBER(SEARCH(Aliases!$A$5:$A$80,E1264))*(Aliases!$A$5:$A$80&lt;&gt;""),0),0)),"UNMATCHED"))</f>
        <v/>
      </c>
      <c r="M1264" s="16"/>
      <c r="N1264" s="16"/>
    </row>
    <row r="1265" spans="1:14" x14ac:dyDescent="0.3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6"/>
      <c r="L1265" s="15" t="str">
        <f>IF(E1265="","",IFERROR(INDEX(Aliases!$B$5:$B$80,MATCH(1,INDEX(ISNUMBER(SEARCH(Aliases!$A$5:$A$80,E1265))*(Aliases!$A$5:$A$80&lt;&gt;""),0),0)),"UNMATCHED"))</f>
        <v/>
      </c>
      <c r="M1265" s="16"/>
      <c r="N1265" s="16"/>
    </row>
    <row r="1266" spans="1:14" x14ac:dyDescent="0.3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6"/>
      <c r="L1266" s="15" t="str">
        <f>IF(E1266="","",IFERROR(INDEX(Aliases!$B$5:$B$80,MATCH(1,INDEX(ISNUMBER(SEARCH(Aliases!$A$5:$A$80,E1266))*(Aliases!$A$5:$A$80&lt;&gt;""),0),0)),"UNMATCHED"))</f>
        <v/>
      </c>
      <c r="M1266" s="16"/>
      <c r="N1266" s="16"/>
    </row>
    <row r="1267" spans="1:14" x14ac:dyDescent="0.3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6"/>
      <c r="L1267" s="15" t="str">
        <f>IF(E1267="","",IFERROR(INDEX(Aliases!$B$5:$B$80,MATCH(1,INDEX(ISNUMBER(SEARCH(Aliases!$A$5:$A$80,E1267))*(Aliases!$A$5:$A$80&lt;&gt;""),0),0)),"UNMATCHED"))</f>
        <v/>
      </c>
      <c r="M1267" s="16"/>
      <c r="N1267" s="16"/>
    </row>
    <row r="1268" spans="1:14" x14ac:dyDescent="0.3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6"/>
      <c r="L1268" s="15" t="str">
        <f>IF(E1268="","",IFERROR(INDEX(Aliases!$B$5:$B$80,MATCH(1,INDEX(ISNUMBER(SEARCH(Aliases!$A$5:$A$80,E1268))*(Aliases!$A$5:$A$80&lt;&gt;""),0),0)),"UNMATCHED"))</f>
        <v/>
      </c>
      <c r="M1268" s="16"/>
      <c r="N1268" s="16"/>
    </row>
    <row r="1269" spans="1:14" x14ac:dyDescent="0.3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6"/>
      <c r="L1269" s="15" t="str">
        <f>IF(E1269="","",IFERROR(INDEX(Aliases!$B$5:$B$80,MATCH(1,INDEX(ISNUMBER(SEARCH(Aliases!$A$5:$A$80,E1269))*(Aliases!$A$5:$A$80&lt;&gt;""),0),0)),"UNMATCHED"))</f>
        <v/>
      </c>
      <c r="M1269" s="16"/>
      <c r="N1269" s="16"/>
    </row>
    <row r="1270" spans="1:14" x14ac:dyDescent="0.3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6"/>
      <c r="L1270" s="15" t="str">
        <f>IF(E1270="","",IFERROR(INDEX(Aliases!$B$5:$B$80,MATCH(1,INDEX(ISNUMBER(SEARCH(Aliases!$A$5:$A$80,E1270))*(Aliases!$A$5:$A$80&lt;&gt;""),0),0)),"UNMATCHED"))</f>
        <v/>
      </c>
      <c r="M1270" s="16"/>
      <c r="N1270" s="16"/>
    </row>
    <row r="1271" spans="1:14" x14ac:dyDescent="0.3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6"/>
      <c r="L1271" s="15" t="str">
        <f>IF(E1271="","",IFERROR(INDEX(Aliases!$B$5:$B$80,MATCH(1,INDEX(ISNUMBER(SEARCH(Aliases!$A$5:$A$80,E1271))*(Aliases!$A$5:$A$80&lt;&gt;""),0),0)),"UNMATCHED"))</f>
        <v/>
      </c>
      <c r="M1271" s="16"/>
      <c r="N1271" s="16"/>
    </row>
    <row r="1272" spans="1:14" x14ac:dyDescent="0.3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6"/>
      <c r="L1272" s="15" t="str">
        <f>IF(E1272="","",IFERROR(INDEX(Aliases!$B$5:$B$80,MATCH(1,INDEX(ISNUMBER(SEARCH(Aliases!$A$5:$A$80,E1272))*(Aliases!$A$5:$A$80&lt;&gt;""),0),0)),"UNMATCHED"))</f>
        <v/>
      </c>
      <c r="M1272" s="16"/>
      <c r="N1272" s="16"/>
    </row>
    <row r="1273" spans="1:14" x14ac:dyDescent="0.3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6"/>
      <c r="L1273" s="15" t="str">
        <f>IF(E1273="","",IFERROR(INDEX(Aliases!$B$5:$B$80,MATCH(1,INDEX(ISNUMBER(SEARCH(Aliases!$A$5:$A$80,E1273))*(Aliases!$A$5:$A$80&lt;&gt;""),0),0)),"UNMATCHED"))</f>
        <v/>
      </c>
      <c r="M1273" s="16"/>
      <c r="N1273" s="16"/>
    </row>
    <row r="1274" spans="1:14" x14ac:dyDescent="0.3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6"/>
      <c r="L1274" s="15" t="str">
        <f>IF(E1274="","",IFERROR(INDEX(Aliases!$B$5:$B$80,MATCH(1,INDEX(ISNUMBER(SEARCH(Aliases!$A$5:$A$80,E1274))*(Aliases!$A$5:$A$80&lt;&gt;""),0),0)),"UNMATCHED"))</f>
        <v/>
      </c>
      <c r="M1274" s="16"/>
      <c r="N1274" s="16"/>
    </row>
    <row r="1275" spans="1:14" x14ac:dyDescent="0.3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6"/>
      <c r="L1275" s="15" t="str">
        <f>IF(E1275="","",IFERROR(INDEX(Aliases!$B$5:$B$80,MATCH(1,INDEX(ISNUMBER(SEARCH(Aliases!$A$5:$A$80,E1275))*(Aliases!$A$5:$A$80&lt;&gt;""),0),0)),"UNMATCHED"))</f>
        <v/>
      </c>
      <c r="M1275" s="16"/>
      <c r="N1275" s="16"/>
    </row>
    <row r="1276" spans="1:14" x14ac:dyDescent="0.3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6"/>
      <c r="L1276" s="15" t="str">
        <f>IF(E1276="","",IFERROR(INDEX(Aliases!$B$5:$B$80,MATCH(1,INDEX(ISNUMBER(SEARCH(Aliases!$A$5:$A$80,E1276))*(Aliases!$A$5:$A$80&lt;&gt;""),0),0)),"UNMATCHED"))</f>
        <v/>
      </c>
      <c r="M1276" s="16"/>
      <c r="N1276" s="16"/>
    </row>
    <row r="1277" spans="1:14" x14ac:dyDescent="0.3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6"/>
      <c r="L1277" s="15" t="str">
        <f>IF(E1277="","",IFERROR(INDEX(Aliases!$B$5:$B$80,MATCH(1,INDEX(ISNUMBER(SEARCH(Aliases!$A$5:$A$80,E1277))*(Aliases!$A$5:$A$80&lt;&gt;""),0),0)),"UNMATCHED"))</f>
        <v/>
      </c>
      <c r="M1277" s="16"/>
      <c r="N1277" s="16"/>
    </row>
    <row r="1278" spans="1:14" x14ac:dyDescent="0.3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6"/>
      <c r="L1278" s="15" t="str">
        <f>IF(E1278="","",IFERROR(INDEX(Aliases!$B$5:$B$80,MATCH(1,INDEX(ISNUMBER(SEARCH(Aliases!$A$5:$A$80,E1278))*(Aliases!$A$5:$A$80&lt;&gt;""),0),0)),"UNMATCHED"))</f>
        <v/>
      </c>
      <c r="M1278" s="16"/>
      <c r="N1278" s="16"/>
    </row>
    <row r="1279" spans="1:14" x14ac:dyDescent="0.3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6"/>
      <c r="L1279" s="15" t="str">
        <f>IF(E1279="","",IFERROR(INDEX(Aliases!$B$5:$B$80,MATCH(1,INDEX(ISNUMBER(SEARCH(Aliases!$A$5:$A$80,E1279))*(Aliases!$A$5:$A$80&lt;&gt;""),0),0)),"UNMATCHED"))</f>
        <v/>
      </c>
      <c r="M1279" s="16"/>
      <c r="N1279" s="16"/>
    </row>
    <row r="1280" spans="1:14" x14ac:dyDescent="0.3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6"/>
      <c r="L1280" s="15" t="str">
        <f>IF(E1280="","",IFERROR(INDEX(Aliases!$B$5:$B$80,MATCH(1,INDEX(ISNUMBER(SEARCH(Aliases!$A$5:$A$80,E1280))*(Aliases!$A$5:$A$80&lt;&gt;""),0),0)),"UNMATCHED"))</f>
        <v/>
      </c>
      <c r="M1280" s="16"/>
      <c r="N1280" s="16"/>
    </row>
    <row r="1281" spans="1:14" x14ac:dyDescent="0.3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6"/>
      <c r="L1281" s="15" t="str">
        <f>IF(E1281="","",IFERROR(INDEX(Aliases!$B$5:$B$80,MATCH(1,INDEX(ISNUMBER(SEARCH(Aliases!$A$5:$A$80,E1281))*(Aliases!$A$5:$A$80&lt;&gt;""),0),0)),"UNMATCHED"))</f>
        <v/>
      </c>
      <c r="M1281" s="16"/>
      <c r="N1281" s="16"/>
    </row>
    <row r="1282" spans="1:14" x14ac:dyDescent="0.3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6"/>
      <c r="L1282" s="15" t="str">
        <f>IF(E1282="","",IFERROR(INDEX(Aliases!$B$5:$B$80,MATCH(1,INDEX(ISNUMBER(SEARCH(Aliases!$A$5:$A$80,E1282))*(Aliases!$A$5:$A$80&lt;&gt;""),0),0)),"UNMATCHED"))</f>
        <v/>
      </c>
      <c r="M1282" s="16"/>
      <c r="N1282" s="16"/>
    </row>
    <row r="1283" spans="1:14" x14ac:dyDescent="0.3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6"/>
      <c r="L1283" s="15" t="str">
        <f>IF(E1283="","",IFERROR(INDEX(Aliases!$B$5:$B$80,MATCH(1,INDEX(ISNUMBER(SEARCH(Aliases!$A$5:$A$80,E1283))*(Aliases!$A$5:$A$80&lt;&gt;""),0),0)),"UNMATCHED"))</f>
        <v/>
      </c>
      <c r="M1283" s="16"/>
      <c r="N1283" s="16"/>
    </row>
    <row r="1284" spans="1:14" x14ac:dyDescent="0.3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6"/>
      <c r="L1284" s="15" t="str">
        <f>IF(E1284="","",IFERROR(INDEX(Aliases!$B$5:$B$80,MATCH(1,INDEX(ISNUMBER(SEARCH(Aliases!$A$5:$A$80,E1284))*(Aliases!$A$5:$A$80&lt;&gt;""),0),0)),"UNMATCHED"))</f>
        <v/>
      </c>
      <c r="M1284" s="16"/>
      <c r="N1284" s="16"/>
    </row>
    <row r="1285" spans="1:14" x14ac:dyDescent="0.3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6"/>
      <c r="L1285" s="15" t="str">
        <f>IF(E1285="","",IFERROR(INDEX(Aliases!$B$5:$B$80,MATCH(1,INDEX(ISNUMBER(SEARCH(Aliases!$A$5:$A$80,E1285))*(Aliases!$A$5:$A$80&lt;&gt;""),0),0)),"UNMATCHED"))</f>
        <v/>
      </c>
      <c r="M1285" s="16"/>
      <c r="N1285" s="16"/>
    </row>
    <row r="1286" spans="1:14" x14ac:dyDescent="0.3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6"/>
      <c r="L1286" s="15" t="str">
        <f>IF(E1286="","",IFERROR(INDEX(Aliases!$B$5:$B$80,MATCH(1,INDEX(ISNUMBER(SEARCH(Aliases!$A$5:$A$80,E1286))*(Aliases!$A$5:$A$80&lt;&gt;""),0),0)),"UNMATCHED"))</f>
        <v/>
      </c>
      <c r="M1286" s="16"/>
      <c r="N1286" s="16"/>
    </row>
    <row r="1287" spans="1:14" x14ac:dyDescent="0.3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6"/>
      <c r="L1287" s="15" t="str">
        <f>IF(E1287="","",IFERROR(INDEX(Aliases!$B$5:$B$80,MATCH(1,INDEX(ISNUMBER(SEARCH(Aliases!$A$5:$A$80,E1287))*(Aliases!$A$5:$A$80&lt;&gt;""),0),0)),"UNMATCHED"))</f>
        <v/>
      </c>
      <c r="M1287" s="16"/>
      <c r="N1287" s="16"/>
    </row>
    <row r="1288" spans="1:14" x14ac:dyDescent="0.3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6"/>
      <c r="L1288" s="15" t="str">
        <f>IF(E1288="","",IFERROR(INDEX(Aliases!$B$5:$B$80,MATCH(1,INDEX(ISNUMBER(SEARCH(Aliases!$A$5:$A$80,E1288))*(Aliases!$A$5:$A$80&lt;&gt;""),0),0)),"UNMATCHED"))</f>
        <v/>
      </c>
      <c r="M1288" s="16"/>
      <c r="N1288" s="16"/>
    </row>
    <row r="1289" spans="1:14" x14ac:dyDescent="0.3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6"/>
      <c r="L1289" s="15" t="str">
        <f>IF(E1289="","",IFERROR(INDEX(Aliases!$B$5:$B$80,MATCH(1,INDEX(ISNUMBER(SEARCH(Aliases!$A$5:$A$80,E1289))*(Aliases!$A$5:$A$80&lt;&gt;""),0),0)),"UNMATCHED"))</f>
        <v/>
      </c>
      <c r="M1289" s="16"/>
      <c r="N1289" s="16"/>
    </row>
    <row r="1290" spans="1:14" x14ac:dyDescent="0.3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6"/>
      <c r="L1290" s="15" t="str">
        <f>IF(E1290="","",IFERROR(INDEX(Aliases!$B$5:$B$80,MATCH(1,INDEX(ISNUMBER(SEARCH(Aliases!$A$5:$A$80,E1290))*(Aliases!$A$5:$A$80&lt;&gt;""),0),0)),"UNMATCHED"))</f>
        <v/>
      </c>
      <c r="M1290" s="16"/>
      <c r="N1290" s="16"/>
    </row>
    <row r="1291" spans="1:14" x14ac:dyDescent="0.3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6"/>
      <c r="L1291" s="15" t="str">
        <f>IF(E1291="","",IFERROR(INDEX(Aliases!$B$5:$B$80,MATCH(1,INDEX(ISNUMBER(SEARCH(Aliases!$A$5:$A$80,E1291))*(Aliases!$A$5:$A$80&lt;&gt;""),0),0)),"UNMATCHED"))</f>
        <v/>
      </c>
      <c r="M1291" s="16"/>
      <c r="N1291" s="16"/>
    </row>
    <row r="1292" spans="1:14" x14ac:dyDescent="0.3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6"/>
      <c r="L1292" s="15" t="str">
        <f>IF(E1292="","",IFERROR(INDEX(Aliases!$B$5:$B$80,MATCH(1,INDEX(ISNUMBER(SEARCH(Aliases!$A$5:$A$80,E1292))*(Aliases!$A$5:$A$80&lt;&gt;""),0),0)),"UNMATCHED"))</f>
        <v/>
      </c>
      <c r="M1292" s="16"/>
      <c r="N1292" s="16"/>
    </row>
    <row r="1293" spans="1:14" x14ac:dyDescent="0.3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6"/>
      <c r="L1293" s="15" t="str">
        <f>IF(E1293="","",IFERROR(INDEX(Aliases!$B$5:$B$80,MATCH(1,INDEX(ISNUMBER(SEARCH(Aliases!$A$5:$A$80,E1293))*(Aliases!$A$5:$A$80&lt;&gt;""),0),0)),"UNMATCHED"))</f>
        <v/>
      </c>
      <c r="M1293" s="16"/>
      <c r="N1293" s="16"/>
    </row>
    <row r="1294" spans="1:14" x14ac:dyDescent="0.3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6"/>
      <c r="L1294" s="15" t="str">
        <f>IF(E1294="","",IFERROR(INDEX(Aliases!$B$5:$B$80,MATCH(1,INDEX(ISNUMBER(SEARCH(Aliases!$A$5:$A$80,E1294))*(Aliases!$A$5:$A$80&lt;&gt;""),0),0)),"UNMATCHED"))</f>
        <v/>
      </c>
      <c r="M1294" s="16"/>
      <c r="N1294" s="16"/>
    </row>
    <row r="1295" spans="1:14" x14ac:dyDescent="0.3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6"/>
      <c r="L1295" s="15" t="str">
        <f>IF(E1295="","",IFERROR(INDEX(Aliases!$B$5:$B$80,MATCH(1,INDEX(ISNUMBER(SEARCH(Aliases!$A$5:$A$80,E1295))*(Aliases!$A$5:$A$80&lt;&gt;""),0),0)),"UNMATCHED"))</f>
        <v/>
      </c>
      <c r="M1295" s="16"/>
      <c r="N1295" s="16"/>
    </row>
    <row r="1296" spans="1:14" x14ac:dyDescent="0.3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6"/>
      <c r="L1296" s="15" t="str">
        <f>IF(E1296="","",IFERROR(INDEX(Aliases!$B$5:$B$80,MATCH(1,INDEX(ISNUMBER(SEARCH(Aliases!$A$5:$A$80,E1296))*(Aliases!$A$5:$A$80&lt;&gt;""),0),0)),"UNMATCHED"))</f>
        <v/>
      </c>
      <c r="M1296" s="16"/>
      <c r="N1296" s="16"/>
    </row>
    <row r="1297" spans="1:14" x14ac:dyDescent="0.3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6"/>
      <c r="L1297" s="15" t="str">
        <f>IF(E1297="","",IFERROR(INDEX(Aliases!$B$5:$B$80,MATCH(1,INDEX(ISNUMBER(SEARCH(Aliases!$A$5:$A$80,E1297))*(Aliases!$A$5:$A$80&lt;&gt;""),0),0)),"UNMATCHED"))</f>
        <v/>
      </c>
      <c r="M1297" s="16"/>
      <c r="N1297" s="16"/>
    </row>
    <row r="1298" spans="1:14" x14ac:dyDescent="0.3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6"/>
      <c r="L1298" s="15" t="str">
        <f>IF(E1298="","",IFERROR(INDEX(Aliases!$B$5:$B$80,MATCH(1,INDEX(ISNUMBER(SEARCH(Aliases!$A$5:$A$80,E1298))*(Aliases!$A$5:$A$80&lt;&gt;""),0),0)),"UNMATCHED"))</f>
        <v/>
      </c>
      <c r="M1298" s="16"/>
      <c r="N1298" s="16"/>
    </row>
    <row r="1299" spans="1:14" x14ac:dyDescent="0.3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6"/>
      <c r="L1299" s="15" t="str">
        <f>IF(E1299="","",IFERROR(INDEX(Aliases!$B$5:$B$80,MATCH(1,INDEX(ISNUMBER(SEARCH(Aliases!$A$5:$A$80,E1299))*(Aliases!$A$5:$A$80&lt;&gt;""),0),0)),"UNMATCHED"))</f>
        <v/>
      </c>
      <c r="M1299" s="16"/>
      <c r="N1299" s="16"/>
    </row>
    <row r="1300" spans="1:14" x14ac:dyDescent="0.3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6"/>
      <c r="L1300" s="15" t="str">
        <f>IF(E1300="","",IFERROR(INDEX(Aliases!$B$5:$B$80,MATCH(1,INDEX(ISNUMBER(SEARCH(Aliases!$A$5:$A$80,E1300))*(Aliases!$A$5:$A$80&lt;&gt;""),0),0)),"UNMATCHED"))</f>
        <v/>
      </c>
      <c r="M1300" s="16"/>
      <c r="N1300" s="16"/>
    </row>
    <row r="1301" spans="1:14" x14ac:dyDescent="0.3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6"/>
      <c r="L1301" s="15" t="str">
        <f>IF(E1301="","",IFERROR(INDEX(Aliases!$B$5:$B$80,MATCH(1,INDEX(ISNUMBER(SEARCH(Aliases!$A$5:$A$80,E1301))*(Aliases!$A$5:$A$80&lt;&gt;""),0),0)),"UNMATCHED"))</f>
        <v/>
      </c>
      <c r="M1301" s="16"/>
      <c r="N1301" s="16"/>
    </row>
    <row r="1302" spans="1:14" x14ac:dyDescent="0.3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6"/>
      <c r="L1302" s="15" t="str">
        <f>IF(E1302="","",IFERROR(INDEX(Aliases!$B$5:$B$80,MATCH(1,INDEX(ISNUMBER(SEARCH(Aliases!$A$5:$A$80,E1302))*(Aliases!$A$5:$A$80&lt;&gt;""),0),0)),"UNMATCHED"))</f>
        <v/>
      </c>
      <c r="M1302" s="16"/>
      <c r="N1302" s="16"/>
    </row>
    <row r="1303" spans="1:14" x14ac:dyDescent="0.3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6"/>
      <c r="L1303" s="15" t="str">
        <f>IF(E1303="","",IFERROR(INDEX(Aliases!$B$5:$B$80,MATCH(1,INDEX(ISNUMBER(SEARCH(Aliases!$A$5:$A$80,E1303))*(Aliases!$A$5:$A$80&lt;&gt;""),0),0)),"UNMATCHED"))</f>
        <v/>
      </c>
      <c r="M1303" s="16"/>
      <c r="N1303" s="16"/>
    </row>
    <row r="1304" spans="1:14" x14ac:dyDescent="0.3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6"/>
      <c r="L1304" s="15" t="str">
        <f>IF(E1304="","",IFERROR(INDEX(Aliases!$B$5:$B$80,MATCH(1,INDEX(ISNUMBER(SEARCH(Aliases!$A$5:$A$80,E1304))*(Aliases!$A$5:$A$80&lt;&gt;""),0),0)),"UNMATCHED"))</f>
        <v/>
      </c>
      <c r="M1304" s="16"/>
      <c r="N1304" s="16"/>
    </row>
    <row r="1305" spans="1:14" x14ac:dyDescent="0.3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6"/>
      <c r="L1305" s="15" t="str">
        <f>IF(E1305="","",IFERROR(INDEX(Aliases!$B$5:$B$80,MATCH(1,INDEX(ISNUMBER(SEARCH(Aliases!$A$5:$A$80,E1305))*(Aliases!$A$5:$A$80&lt;&gt;""),0),0)),"UNMATCHED"))</f>
        <v/>
      </c>
      <c r="M1305" s="16"/>
      <c r="N1305" s="16"/>
    </row>
    <row r="1306" spans="1:14" x14ac:dyDescent="0.3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6"/>
      <c r="L1306" s="15" t="str">
        <f>IF(E1306="","",IFERROR(INDEX(Aliases!$B$5:$B$80,MATCH(1,INDEX(ISNUMBER(SEARCH(Aliases!$A$5:$A$80,E1306))*(Aliases!$A$5:$A$80&lt;&gt;""),0),0)),"UNMATCHED"))</f>
        <v/>
      </c>
      <c r="M1306" s="16"/>
      <c r="N1306" s="16"/>
    </row>
    <row r="1307" spans="1:14" x14ac:dyDescent="0.3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6"/>
      <c r="L1307" s="15" t="str">
        <f>IF(E1307="","",IFERROR(INDEX(Aliases!$B$5:$B$80,MATCH(1,INDEX(ISNUMBER(SEARCH(Aliases!$A$5:$A$80,E1307))*(Aliases!$A$5:$A$80&lt;&gt;""),0),0)),"UNMATCHED"))</f>
        <v/>
      </c>
      <c r="M1307" s="16"/>
      <c r="N1307" s="16"/>
    </row>
    <row r="1308" spans="1:14" x14ac:dyDescent="0.3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6"/>
      <c r="L1308" s="15" t="str">
        <f>IF(E1308="","",IFERROR(INDEX(Aliases!$B$5:$B$80,MATCH(1,INDEX(ISNUMBER(SEARCH(Aliases!$A$5:$A$80,E1308))*(Aliases!$A$5:$A$80&lt;&gt;""),0),0)),"UNMATCHED"))</f>
        <v/>
      </c>
      <c r="M1308" s="16"/>
      <c r="N1308" s="16"/>
    </row>
    <row r="1309" spans="1:14" x14ac:dyDescent="0.3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6"/>
      <c r="L1309" s="15" t="str">
        <f>IF(E1309="","",IFERROR(INDEX(Aliases!$B$5:$B$80,MATCH(1,INDEX(ISNUMBER(SEARCH(Aliases!$A$5:$A$80,E1309))*(Aliases!$A$5:$A$80&lt;&gt;""),0),0)),"UNMATCHED"))</f>
        <v/>
      </c>
      <c r="M1309" s="16"/>
      <c r="N1309" s="16"/>
    </row>
    <row r="1310" spans="1:14" x14ac:dyDescent="0.3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6"/>
      <c r="L1310" s="15" t="str">
        <f>IF(E1310="","",IFERROR(INDEX(Aliases!$B$5:$B$80,MATCH(1,INDEX(ISNUMBER(SEARCH(Aliases!$A$5:$A$80,E1310))*(Aliases!$A$5:$A$80&lt;&gt;""),0),0)),"UNMATCHED"))</f>
        <v/>
      </c>
      <c r="M1310" s="16"/>
      <c r="N1310" s="16"/>
    </row>
    <row r="1311" spans="1:14" x14ac:dyDescent="0.3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6"/>
      <c r="L1311" s="15" t="str">
        <f>IF(E1311="","",IFERROR(INDEX(Aliases!$B$5:$B$80,MATCH(1,INDEX(ISNUMBER(SEARCH(Aliases!$A$5:$A$80,E1311))*(Aliases!$A$5:$A$80&lt;&gt;""),0),0)),"UNMATCHED"))</f>
        <v/>
      </c>
      <c r="M1311" s="16"/>
      <c r="N1311" s="16"/>
    </row>
    <row r="1312" spans="1:14" x14ac:dyDescent="0.3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6"/>
      <c r="L1312" s="15" t="str">
        <f>IF(E1312="","",IFERROR(INDEX(Aliases!$B$5:$B$80,MATCH(1,INDEX(ISNUMBER(SEARCH(Aliases!$A$5:$A$80,E1312))*(Aliases!$A$5:$A$80&lt;&gt;""),0),0)),"UNMATCHED"))</f>
        <v/>
      </c>
      <c r="M1312" s="16"/>
      <c r="N1312" s="16"/>
    </row>
    <row r="1313" spans="1:14" x14ac:dyDescent="0.3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6"/>
      <c r="L1313" s="15" t="str">
        <f>IF(E1313="","",IFERROR(INDEX(Aliases!$B$5:$B$80,MATCH(1,INDEX(ISNUMBER(SEARCH(Aliases!$A$5:$A$80,E1313))*(Aliases!$A$5:$A$80&lt;&gt;""),0),0)),"UNMATCHED"))</f>
        <v/>
      </c>
      <c r="M1313" s="16"/>
      <c r="N1313" s="16"/>
    </row>
    <row r="1314" spans="1:14" x14ac:dyDescent="0.3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6"/>
      <c r="L1314" s="15" t="str">
        <f>IF(E1314="","",IFERROR(INDEX(Aliases!$B$5:$B$80,MATCH(1,INDEX(ISNUMBER(SEARCH(Aliases!$A$5:$A$80,E1314))*(Aliases!$A$5:$A$80&lt;&gt;""),0),0)),"UNMATCHED"))</f>
        <v/>
      </c>
      <c r="M1314" s="16"/>
      <c r="N1314" s="16"/>
    </row>
    <row r="1315" spans="1:14" x14ac:dyDescent="0.3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6"/>
      <c r="L1315" s="15" t="str">
        <f>IF(E1315="","",IFERROR(INDEX(Aliases!$B$5:$B$80,MATCH(1,INDEX(ISNUMBER(SEARCH(Aliases!$A$5:$A$80,E1315))*(Aliases!$A$5:$A$80&lt;&gt;""),0),0)),"UNMATCHED"))</f>
        <v/>
      </c>
      <c r="M1315" s="16"/>
      <c r="N1315" s="16"/>
    </row>
    <row r="1316" spans="1:14" x14ac:dyDescent="0.3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6"/>
      <c r="L1316" s="15" t="str">
        <f>IF(E1316="","",IFERROR(INDEX(Aliases!$B$5:$B$80,MATCH(1,INDEX(ISNUMBER(SEARCH(Aliases!$A$5:$A$80,E1316))*(Aliases!$A$5:$A$80&lt;&gt;""),0),0)),"UNMATCHED"))</f>
        <v/>
      </c>
      <c r="M1316" s="16"/>
      <c r="N1316" s="16"/>
    </row>
    <row r="1317" spans="1:14" x14ac:dyDescent="0.3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6"/>
      <c r="L1317" s="15" t="str">
        <f>IF(E1317="","",IFERROR(INDEX(Aliases!$B$5:$B$80,MATCH(1,INDEX(ISNUMBER(SEARCH(Aliases!$A$5:$A$80,E1317))*(Aliases!$A$5:$A$80&lt;&gt;""),0),0)),"UNMATCHED"))</f>
        <v/>
      </c>
      <c r="M1317" s="16"/>
      <c r="N1317" s="16"/>
    </row>
    <row r="1318" spans="1:14" x14ac:dyDescent="0.3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6"/>
      <c r="L1318" s="15" t="str">
        <f>IF(E1318="","",IFERROR(INDEX(Aliases!$B$5:$B$80,MATCH(1,INDEX(ISNUMBER(SEARCH(Aliases!$A$5:$A$80,E1318))*(Aliases!$A$5:$A$80&lt;&gt;""),0),0)),"UNMATCHED"))</f>
        <v/>
      </c>
      <c r="M1318" s="16"/>
      <c r="N1318" s="16"/>
    </row>
    <row r="1319" spans="1:14" x14ac:dyDescent="0.3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6"/>
      <c r="L1319" s="15" t="str">
        <f>IF(E1319="","",IFERROR(INDEX(Aliases!$B$5:$B$80,MATCH(1,INDEX(ISNUMBER(SEARCH(Aliases!$A$5:$A$80,E1319))*(Aliases!$A$5:$A$80&lt;&gt;""),0),0)),"UNMATCHED"))</f>
        <v/>
      </c>
      <c r="M1319" s="16"/>
      <c r="N1319" s="16"/>
    </row>
    <row r="1320" spans="1:14" x14ac:dyDescent="0.3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6"/>
      <c r="L1320" s="15" t="str">
        <f>IF(E1320="","",IFERROR(INDEX(Aliases!$B$5:$B$80,MATCH(1,INDEX(ISNUMBER(SEARCH(Aliases!$A$5:$A$80,E1320))*(Aliases!$A$5:$A$80&lt;&gt;""),0),0)),"UNMATCHED"))</f>
        <v/>
      </c>
      <c r="M1320" s="16"/>
      <c r="N1320" s="16"/>
    </row>
    <row r="1321" spans="1:14" x14ac:dyDescent="0.3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6"/>
      <c r="L1321" s="15" t="str">
        <f>IF(E1321="","",IFERROR(INDEX(Aliases!$B$5:$B$80,MATCH(1,INDEX(ISNUMBER(SEARCH(Aliases!$A$5:$A$80,E1321))*(Aliases!$A$5:$A$80&lt;&gt;""),0),0)),"UNMATCHED"))</f>
        <v/>
      </c>
      <c r="M1321" s="16"/>
      <c r="N1321" s="16"/>
    </row>
    <row r="1322" spans="1:14" x14ac:dyDescent="0.3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6"/>
      <c r="L1322" s="15" t="str">
        <f>IF(E1322="","",IFERROR(INDEX(Aliases!$B$5:$B$80,MATCH(1,INDEX(ISNUMBER(SEARCH(Aliases!$A$5:$A$80,E1322))*(Aliases!$A$5:$A$80&lt;&gt;""),0),0)),"UNMATCHED"))</f>
        <v/>
      </c>
      <c r="M1322" s="16"/>
      <c r="N1322" s="16"/>
    </row>
    <row r="1323" spans="1:14" x14ac:dyDescent="0.3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6"/>
      <c r="L1323" s="15" t="str">
        <f>IF(E1323="","",IFERROR(INDEX(Aliases!$B$5:$B$80,MATCH(1,INDEX(ISNUMBER(SEARCH(Aliases!$A$5:$A$80,E1323))*(Aliases!$A$5:$A$80&lt;&gt;""),0),0)),"UNMATCHED"))</f>
        <v/>
      </c>
      <c r="M1323" s="16"/>
      <c r="N1323" s="16"/>
    </row>
    <row r="1324" spans="1:14" x14ac:dyDescent="0.3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6"/>
      <c r="L1324" s="15" t="str">
        <f>IF(E1324="","",IFERROR(INDEX(Aliases!$B$5:$B$80,MATCH(1,INDEX(ISNUMBER(SEARCH(Aliases!$A$5:$A$80,E1324))*(Aliases!$A$5:$A$80&lt;&gt;""),0),0)),"UNMATCHED"))</f>
        <v/>
      </c>
      <c r="M1324" s="16"/>
      <c r="N1324" s="16"/>
    </row>
    <row r="1325" spans="1:14" x14ac:dyDescent="0.3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6"/>
      <c r="L1325" s="15" t="str">
        <f>IF(E1325="","",IFERROR(INDEX(Aliases!$B$5:$B$80,MATCH(1,INDEX(ISNUMBER(SEARCH(Aliases!$A$5:$A$80,E1325))*(Aliases!$A$5:$A$80&lt;&gt;""),0),0)),"UNMATCHED"))</f>
        <v/>
      </c>
      <c r="M1325" s="16"/>
      <c r="N1325" s="16"/>
    </row>
    <row r="1326" spans="1:14" x14ac:dyDescent="0.3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6"/>
      <c r="L1326" s="15" t="str">
        <f>IF(E1326="","",IFERROR(INDEX(Aliases!$B$5:$B$80,MATCH(1,INDEX(ISNUMBER(SEARCH(Aliases!$A$5:$A$80,E1326))*(Aliases!$A$5:$A$80&lt;&gt;""),0),0)),"UNMATCHED"))</f>
        <v/>
      </c>
      <c r="M1326" s="16"/>
      <c r="N1326" s="16"/>
    </row>
    <row r="1327" spans="1:14" x14ac:dyDescent="0.3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6"/>
      <c r="L1327" s="15" t="str">
        <f>IF(E1327="","",IFERROR(INDEX(Aliases!$B$5:$B$80,MATCH(1,INDEX(ISNUMBER(SEARCH(Aliases!$A$5:$A$80,E1327))*(Aliases!$A$5:$A$80&lt;&gt;""),0),0)),"UNMATCHED"))</f>
        <v/>
      </c>
      <c r="M1327" s="16"/>
      <c r="N1327" s="16"/>
    </row>
    <row r="1328" spans="1:14" x14ac:dyDescent="0.3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6"/>
      <c r="L1328" s="15" t="str">
        <f>IF(E1328="","",IFERROR(INDEX(Aliases!$B$5:$B$80,MATCH(1,INDEX(ISNUMBER(SEARCH(Aliases!$A$5:$A$80,E1328))*(Aliases!$A$5:$A$80&lt;&gt;""),0),0)),"UNMATCHED"))</f>
        <v/>
      </c>
      <c r="M1328" s="16"/>
      <c r="N1328" s="16"/>
    </row>
    <row r="1329" spans="1:14" x14ac:dyDescent="0.3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6"/>
      <c r="L1329" s="15" t="str">
        <f>IF(E1329="","",IFERROR(INDEX(Aliases!$B$5:$B$80,MATCH(1,INDEX(ISNUMBER(SEARCH(Aliases!$A$5:$A$80,E1329))*(Aliases!$A$5:$A$80&lt;&gt;""),0),0)),"UNMATCHED"))</f>
        <v/>
      </c>
      <c r="M1329" s="16"/>
      <c r="N1329" s="16"/>
    </row>
    <row r="1330" spans="1:14" x14ac:dyDescent="0.3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6"/>
      <c r="L1330" s="15" t="str">
        <f>IF(E1330="","",IFERROR(INDEX(Aliases!$B$5:$B$80,MATCH(1,INDEX(ISNUMBER(SEARCH(Aliases!$A$5:$A$80,E1330))*(Aliases!$A$5:$A$80&lt;&gt;""),0),0)),"UNMATCHED"))</f>
        <v/>
      </c>
      <c r="M1330" s="16"/>
      <c r="N1330" s="16"/>
    </row>
    <row r="1331" spans="1:14" x14ac:dyDescent="0.3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6"/>
      <c r="L1331" s="15" t="str">
        <f>IF(E1331="","",IFERROR(INDEX(Aliases!$B$5:$B$80,MATCH(1,INDEX(ISNUMBER(SEARCH(Aliases!$A$5:$A$80,E1331))*(Aliases!$A$5:$A$80&lt;&gt;""),0),0)),"UNMATCHED"))</f>
        <v/>
      </c>
      <c r="M1331" s="16"/>
      <c r="N1331" s="16"/>
    </row>
    <row r="1332" spans="1:14" x14ac:dyDescent="0.3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6"/>
      <c r="L1332" s="15" t="str">
        <f>IF(E1332="","",IFERROR(INDEX(Aliases!$B$5:$B$80,MATCH(1,INDEX(ISNUMBER(SEARCH(Aliases!$A$5:$A$80,E1332))*(Aliases!$A$5:$A$80&lt;&gt;""),0),0)),"UNMATCHED"))</f>
        <v/>
      </c>
      <c r="M1332" s="16"/>
      <c r="N1332" s="16"/>
    </row>
    <row r="1333" spans="1:14" x14ac:dyDescent="0.3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6"/>
      <c r="L1333" s="15" t="str">
        <f>IF(E1333="","",IFERROR(INDEX(Aliases!$B$5:$B$80,MATCH(1,INDEX(ISNUMBER(SEARCH(Aliases!$A$5:$A$80,E1333))*(Aliases!$A$5:$A$80&lt;&gt;""),0),0)),"UNMATCHED"))</f>
        <v/>
      </c>
      <c r="M1333" s="16"/>
      <c r="N1333" s="16"/>
    </row>
    <row r="1334" spans="1:14" x14ac:dyDescent="0.3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6"/>
      <c r="L1334" s="15" t="str">
        <f>IF(E1334="","",IFERROR(INDEX(Aliases!$B$5:$B$80,MATCH(1,INDEX(ISNUMBER(SEARCH(Aliases!$A$5:$A$80,E1334))*(Aliases!$A$5:$A$80&lt;&gt;""),0),0)),"UNMATCHED"))</f>
        <v/>
      </c>
      <c r="M1334" s="16"/>
      <c r="N1334" s="16"/>
    </row>
    <row r="1335" spans="1:14" x14ac:dyDescent="0.3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6"/>
      <c r="L1335" s="15" t="str">
        <f>IF(E1335="","",IFERROR(INDEX(Aliases!$B$5:$B$80,MATCH(1,INDEX(ISNUMBER(SEARCH(Aliases!$A$5:$A$80,E1335))*(Aliases!$A$5:$A$80&lt;&gt;""),0),0)),"UNMATCHED"))</f>
        <v/>
      </c>
      <c r="M1335" s="16"/>
      <c r="N1335" s="16"/>
    </row>
    <row r="1336" spans="1:14" x14ac:dyDescent="0.3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6"/>
      <c r="L1336" s="15" t="str">
        <f>IF(E1336="","",IFERROR(INDEX(Aliases!$B$5:$B$80,MATCH(1,INDEX(ISNUMBER(SEARCH(Aliases!$A$5:$A$80,E1336))*(Aliases!$A$5:$A$80&lt;&gt;""),0),0)),"UNMATCHED"))</f>
        <v/>
      </c>
      <c r="M1336" s="16"/>
      <c r="N1336" s="16"/>
    </row>
    <row r="1337" spans="1:14" x14ac:dyDescent="0.3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6"/>
      <c r="L1337" s="15" t="str">
        <f>IF(E1337="","",IFERROR(INDEX(Aliases!$B$5:$B$80,MATCH(1,INDEX(ISNUMBER(SEARCH(Aliases!$A$5:$A$80,E1337))*(Aliases!$A$5:$A$80&lt;&gt;""),0),0)),"UNMATCHED"))</f>
        <v/>
      </c>
      <c r="M1337" s="16"/>
      <c r="N1337" s="16"/>
    </row>
    <row r="1338" spans="1:14" x14ac:dyDescent="0.3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6"/>
      <c r="L1338" s="15" t="str">
        <f>IF(E1338="","",IFERROR(INDEX(Aliases!$B$5:$B$80,MATCH(1,INDEX(ISNUMBER(SEARCH(Aliases!$A$5:$A$80,E1338))*(Aliases!$A$5:$A$80&lt;&gt;""),0),0)),"UNMATCHED"))</f>
        <v/>
      </c>
      <c r="M1338" s="16"/>
      <c r="N1338" s="16"/>
    </row>
    <row r="1339" spans="1:14" x14ac:dyDescent="0.3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6"/>
      <c r="L1339" s="15" t="str">
        <f>IF(E1339="","",IFERROR(INDEX(Aliases!$B$5:$B$80,MATCH(1,INDEX(ISNUMBER(SEARCH(Aliases!$A$5:$A$80,E1339))*(Aliases!$A$5:$A$80&lt;&gt;""),0),0)),"UNMATCHED"))</f>
        <v/>
      </c>
      <c r="M1339" s="16"/>
      <c r="N1339" s="16"/>
    </row>
    <row r="1340" spans="1:14" x14ac:dyDescent="0.3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6"/>
      <c r="L1340" s="15" t="str">
        <f>IF(E1340="","",IFERROR(INDEX(Aliases!$B$5:$B$80,MATCH(1,INDEX(ISNUMBER(SEARCH(Aliases!$A$5:$A$80,E1340))*(Aliases!$A$5:$A$80&lt;&gt;""),0),0)),"UNMATCHED"))</f>
        <v/>
      </c>
      <c r="M1340" s="16"/>
      <c r="N1340" s="16"/>
    </row>
    <row r="1341" spans="1:14" x14ac:dyDescent="0.3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6"/>
      <c r="L1341" s="15" t="str">
        <f>IF(E1341="","",IFERROR(INDEX(Aliases!$B$5:$B$80,MATCH(1,INDEX(ISNUMBER(SEARCH(Aliases!$A$5:$A$80,E1341))*(Aliases!$A$5:$A$80&lt;&gt;""),0),0)),"UNMATCHED"))</f>
        <v/>
      </c>
      <c r="M1341" s="16"/>
      <c r="N1341" s="16"/>
    </row>
    <row r="1342" spans="1:14" x14ac:dyDescent="0.3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6"/>
      <c r="L1342" s="15" t="str">
        <f>IF(E1342="","",IFERROR(INDEX(Aliases!$B$5:$B$80,MATCH(1,INDEX(ISNUMBER(SEARCH(Aliases!$A$5:$A$80,E1342))*(Aliases!$A$5:$A$80&lt;&gt;""),0),0)),"UNMATCHED"))</f>
        <v/>
      </c>
      <c r="M1342" s="16"/>
      <c r="N1342" s="16"/>
    </row>
    <row r="1343" spans="1:14" x14ac:dyDescent="0.3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6"/>
      <c r="L1343" s="15" t="str">
        <f>IF(E1343="","",IFERROR(INDEX(Aliases!$B$5:$B$80,MATCH(1,INDEX(ISNUMBER(SEARCH(Aliases!$A$5:$A$80,E1343))*(Aliases!$A$5:$A$80&lt;&gt;""),0),0)),"UNMATCHED"))</f>
        <v/>
      </c>
      <c r="M1343" s="16"/>
      <c r="N1343" s="16"/>
    </row>
    <row r="1344" spans="1:14" x14ac:dyDescent="0.3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6"/>
      <c r="L1344" s="15" t="str">
        <f>IF(E1344="","",IFERROR(INDEX(Aliases!$B$5:$B$80,MATCH(1,INDEX(ISNUMBER(SEARCH(Aliases!$A$5:$A$80,E1344))*(Aliases!$A$5:$A$80&lt;&gt;""),0),0)),"UNMATCHED"))</f>
        <v/>
      </c>
      <c r="M1344" s="16"/>
      <c r="N1344" s="16"/>
    </row>
    <row r="1345" spans="1:14" x14ac:dyDescent="0.3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6"/>
      <c r="L1345" s="15" t="str">
        <f>IF(E1345="","",IFERROR(INDEX(Aliases!$B$5:$B$80,MATCH(1,INDEX(ISNUMBER(SEARCH(Aliases!$A$5:$A$80,E1345))*(Aliases!$A$5:$A$80&lt;&gt;""),0),0)),"UNMATCHED"))</f>
        <v/>
      </c>
      <c r="M1345" s="16"/>
      <c r="N1345" s="16"/>
    </row>
    <row r="1346" spans="1:14" x14ac:dyDescent="0.3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6"/>
      <c r="L1346" s="15" t="str">
        <f>IF(E1346="","",IFERROR(INDEX(Aliases!$B$5:$B$80,MATCH(1,INDEX(ISNUMBER(SEARCH(Aliases!$A$5:$A$80,E1346))*(Aliases!$A$5:$A$80&lt;&gt;""),0),0)),"UNMATCHED"))</f>
        <v/>
      </c>
      <c r="M1346" s="16"/>
      <c r="N1346" s="16"/>
    </row>
    <row r="1347" spans="1:14" x14ac:dyDescent="0.3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6"/>
      <c r="L1347" s="15" t="str">
        <f>IF(E1347="","",IFERROR(INDEX(Aliases!$B$5:$B$80,MATCH(1,INDEX(ISNUMBER(SEARCH(Aliases!$A$5:$A$80,E1347))*(Aliases!$A$5:$A$80&lt;&gt;""),0),0)),"UNMATCHED"))</f>
        <v/>
      </c>
      <c r="M1347" s="16"/>
      <c r="N1347" s="16"/>
    </row>
    <row r="1348" spans="1:14" x14ac:dyDescent="0.3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6"/>
      <c r="L1348" s="15" t="str">
        <f>IF(E1348="","",IFERROR(INDEX(Aliases!$B$5:$B$80,MATCH(1,INDEX(ISNUMBER(SEARCH(Aliases!$A$5:$A$80,E1348))*(Aliases!$A$5:$A$80&lt;&gt;""),0),0)),"UNMATCHED"))</f>
        <v/>
      </c>
      <c r="M1348" s="16"/>
      <c r="N1348" s="16"/>
    </row>
    <row r="1349" spans="1:14" x14ac:dyDescent="0.3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6"/>
      <c r="L1349" s="15" t="str">
        <f>IF(E1349="","",IFERROR(INDEX(Aliases!$B$5:$B$80,MATCH(1,INDEX(ISNUMBER(SEARCH(Aliases!$A$5:$A$80,E1349))*(Aliases!$A$5:$A$80&lt;&gt;""),0),0)),"UNMATCHED"))</f>
        <v/>
      </c>
      <c r="M1349" s="16"/>
      <c r="N1349" s="16"/>
    </row>
    <row r="1350" spans="1:14" x14ac:dyDescent="0.3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6"/>
      <c r="L1350" s="15" t="str">
        <f>IF(E1350="","",IFERROR(INDEX(Aliases!$B$5:$B$80,MATCH(1,INDEX(ISNUMBER(SEARCH(Aliases!$A$5:$A$80,E1350))*(Aliases!$A$5:$A$80&lt;&gt;""),0),0)),"UNMATCHED"))</f>
        <v/>
      </c>
      <c r="M1350" s="16"/>
      <c r="N1350" s="16"/>
    </row>
    <row r="1351" spans="1:14" x14ac:dyDescent="0.3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6"/>
      <c r="L1351" s="15" t="str">
        <f>IF(E1351="","",IFERROR(INDEX(Aliases!$B$5:$B$80,MATCH(1,INDEX(ISNUMBER(SEARCH(Aliases!$A$5:$A$80,E1351))*(Aliases!$A$5:$A$80&lt;&gt;""),0),0)),"UNMATCHED"))</f>
        <v/>
      </c>
      <c r="M1351" s="16"/>
      <c r="N1351" s="16"/>
    </row>
    <row r="1352" spans="1:14" x14ac:dyDescent="0.3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6"/>
      <c r="L1352" s="15" t="str">
        <f>IF(E1352="","",IFERROR(INDEX(Aliases!$B$5:$B$80,MATCH(1,INDEX(ISNUMBER(SEARCH(Aliases!$A$5:$A$80,E1352))*(Aliases!$A$5:$A$80&lt;&gt;""),0),0)),"UNMATCHED"))</f>
        <v/>
      </c>
      <c r="M1352" s="16"/>
      <c r="N1352" s="16"/>
    </row>
    <row r="1353" spans="1:14" x14ac:dyDescent="0.3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6"/>
      <c r="L1353" s="15" t="str">
        <f>IF(E1353="","",IFERROR(INDEX(Aliases!$B$5:$B$80,MATCH(1,INDEX(ISNUMBER(SEARCH(Aliases!$A$5:$A$80,E1353))*(Aliases!$A$5:$A$80&lt;&gt;""),0),0)),"UNMATCHED"))</f>
        <v/>
      </c>
      <c r="M1353" s="16"/>
      <c r="N1353" s="16"/>
    </row>
    <row r="1354" spans="1:14" x14ac:dyDescent="0.3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6"/>
      <c r="L1354" s="15" t="str">
        <f>IF(E1354="","",IFERROR(INDEX(Aliases!$B$5:$B$80,MATCH(1,INDEX(ISNUMBER(SEARCH(Aliases!$A$5:$A$80,E1354))*(Aliases!$A$5:$A$80&lt;&gt;""),0),0)),"UNMATCHED"))</f>
        <v/>
      </c>
      <c r="M1354" s="16"/>
      <c r="N1354" s="16"/>
    </row>
    <row r="1355" spans="1:14" x14ac:dyDescent="0.3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6"/>
      <c r="L1355" s="15" t="str">
        <f>IF(E1355="","",IFERROR(INDEX(Aliases!$B$5:$B$80,MATCH(1,INDEX(ISNUMBER(SEARCH(Aliases!$A$5:$A$80,E1355))*(Aliases!$A$5:$A$80&lt;&gt;""),0),0)),"UNMATCHED"))</f>
        <v/>
      </c>
      <c r="M1355" s="16"/>
      <c r="N1355" s="16"/>
    </row>
    <row r="1356" spans="1:14" x14ac:dyDescent="0.3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6"/>
      <c r="L1356" s="15" t="str">
        <f>IF(E1356="","",IFERROR(INDEX(Aliases!$B$5:$B$80,MATCH(1,INDEX(ISNUMBER(SEARCH(Aliases!$A$5:$A$80,E1356))*(Aliases!$A$5:$A$80&lt;&gt;""),0),0)),"UNMATCHED"))</f>
        <v/>
      </c>
      <c r="M1356" s="16"/>
      <c r="N1356" s="16"/>
    </row>
    <row r="1357" spans="1:14" x14ac:dyDescent="0.3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6"/>
      <c r="L1357" s="15" t="str">
        <f>IF(E1357="","",IFERROR(INDEX(Aliases!$B$5:$B$80,MATCH(1,INDEX(ISNUMBER(SEARCH(Aliases!$A$5:$A$80,E1357))*(Aliases!$A$5:$A$80&lt;&gt;""),0),0)),"UNMATCHED"))</f>
        <v/>
      </c>
      <c r="M1357" s="16"/>
      <c r="N1357" s="16"/>
    </row>
    <row r="1358" spans="1:14" x14ac:dyDescent="0.3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6"/>
      <c r="L1358" s="15" t="str">
        <f>IF(E1358="","",IFERROR(INDEX(Aliases!$B$5:$B$80,MATCH(1,INDEX(ISNUMBER(SEARCH(Aliases!$A$5:$A$80,E1358))*(Aliases!$A$5:$A$80&lt;&gt;""),0),0)),"UNMATCHED"))</f>
        <v/>
      </c>
      <c r="M1358" s="16"/>
      <c r="N1358" s="16"/>
    </row>
    <row r="1359" spans="1:14" x14ac:dyDescent="0.3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6"/>
      <c r="L1359" s="15" t="str">
        <f>IF(E1359="","",IFERROR(INDEX(Aliases!$B$5:$B$80,MATCH(1,INDEX(ISNUMBER(SEARCH(Aliases!$A$5:$A$80,E1359))*(Aliases!$A$5:$A$80&lt;&gt;""),0),0)),"UNMATCHED"))</f>
        <v/>
      </c>
      <c r="M1359" s="16"/>
      <c r="N1359" s="16"/>
    </row>
    <row r="1360" spans="1:14" x14ac:dyDescent="0.3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6"/>
      <c r="L1360" s="15" t="str">
        <f>IF(E1360="","",IFERROR(INDEX(Aliases!$B$5:$B$80,MATCH(1,INDEX(ISNUMBER(SEARCH(Aliases!$A$5:$A$80,E1360))*(Aliases!$A$5:$A$80&lt;&gt;""),0),0)),"UNMATCHED"))</f>
        <v/>
      </c>
      <c r="M1360" s="16"/>
      <c r="N1360" s="16"/>
    </row>
    <row r="1361" spans="1:14" x14ac:dyDescent="0.3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6"/>
      <c r="L1361" s="15" t="str">
        <f>IF(E1361="","",IFERROR(INDEX(Aliases!$B$5:$B$80,MATCH(1,INDEX(ISNUMBER(SEARCH(Aliases!$A$5:$A$80,E1361))*(Aliases!$A$5:$A$80&lt;&gt;""),0),0)),"UNMATCHED"))</f>
        <v/>
      </c>
      <c r="M1361" s="16"/>
      <c r="N1361" s="16"/>
    </row>
    <row r="1362" spans="1:14" x14ac:dyDescent="0.3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6"/>
      <c r="L1362" s="15" t="str">
        <f>IF(E1362="","",IFERROR(INDEX(Aliases!$B$5:$B$80,MATCH(1,INDEX(ISNUMBER(SEARCH(Aliases!$A$5:$A$80,E1362))*(Aliases!$A$5:$A$80&lt;&gt;""),0),0)),"UNMATCHED"))</f>
        <v/>
      </c>
      <c r="M1362" s="16"/>
      <c r="N1362" s="16"/>
    </row>
    <row r="1363" spans="1:14" x14ac:dyDescent="0.3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6"/>
      <c r="L1363" s="15" t="str">
        <f>IF(E1363="","",IFERROR(INDEX(Aliases!$B$5:$B$80,MATCH(1,INDEX(ISNUMBER(SEARCH(Aliases!$A$5:$A$80,E1363))*(Aliases!$A$5:$A$80&lt;&gt;""),0),0)),"UNMATCHED"))</f>
        <v/>
      </c>
      <c r="M1363" s="16"/>
      <c r="N1363" s="16"/>
    </row>
    <row r="1364" spans="1:14" x14ac:dyDescent="0.3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6"/>
      <c r="L1364" s="15" t="str">
        <f>IF(E1364="","",IFERROR(INDEX(Aliases!$B$5:$B$80,MATCH(1,INDEX(ISNUMBER(SEARCH(Aliases!$A$5:$A$80,E1364))*(Aliases!$A$5:$A$80&lt;&gt;""),0),0)),"UNMATCHED"))</f>
        <v/>
      </c>
      <c r="M1364" s="16"/>
      <c r="N1364" s="16"/>
    </row>
    <row r="1365" spans="1:14" x14ac:dyDescent="0.3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6"/>
      <c r="L1365" s="15" t="str">
        <f>IF(E1365="","",IFERROR(INDEX(Aliases!$B$5:$B$80,MATCH(1,INDEX(ISNUMBER(SEARCH(Aliases!$A$5:$A$80,E1365))*(Aliases!$A$5:$A$80&lt;&gt;""),0),0)),"UNMATCHED"))</f>
        <v/>
      </c>
      <c r="M1365" s="16"/>
      <c r="N1365" s="16"/>
    </row>
    <row r="1366" spans="1:14" x14ac:dyDescent="0.3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6"/>
      <c r="L1366" s="15" t="str">
        <f>IF(E1366="","",IFERROR(INDEX(Aliases!$B$5:$B$80,MATCH(1,INDEX(ISNUMBER(SEARCH(Aliases!$A$5:$A$80,E1366))*(Aliases!$A$5:$A$80&lt;&gt;""),0),0)),"UNMATCHED"))</f>
        <v/>
      </c>
      <c r="M1366" s="16"/>
      <c r="N1366" s="16"/>
    </row>
    <row r="1367" spans="1:14" x14ac:dyDescent="0.3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6"/>
      <c r="L1367" s="15" t="str">
        <f>IF(E1367="","",IFERROR(INDEX(Aliases!$B$5:$B$80,MATCH(1,INDEX(ISNUMBER(SEARCH(Aliases!$A$5:$A$80,E1367))*(Aliases!$A$5:$A$80&lt;&gt;""),0),0)),"UNMATCHED"))</f>
        <v/>
      </c>
      <c r="M1367" s="16"/>
      <c r="N1367" s="16"/>
    </row>
    <row r="1368" spans="1:14" x14ac:dyDescent="0.3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6"/>
      <c r="L1368" s="15" t="str">
        <f>IF(E1368="","",IFERROR(INDEX(Aliases!$B$5:$B$80,MATCH(1,INDEX(ISNUMBER(SEARCH(Aliases!$A$5:$A$80,E1368))*(Aliases!$A$5:$A$80&lt;&gt;""),0),0)),"UNMATCHED"))</f>
        <v/>
      </c>
      <c r="M1368" s="16"/>
      <c r="N1368" s="16"/>
    </row>
    <row r="1369" spans="1:14" x14ac:dyDescent="0.3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6"/>
      <c r="L1369" s="15" t="str">
        <f>IF(E1369="","",IFERROR(INDEX(Aliases!$B$5:$B$80,MATCH(1,INDEX(ISNUMBER(SEARCH(Aliases!$A$5:$A$80,E1369))*(Aliases!$A$5:$A$80&lt;&gt;""),0),0)),"UNMATCHED"))</f>
        <v/>
      </c>
      <c r="M1369" s="16"/>
      <c r="N1369" s="16"/>
    </row>
    <row r="1370" spans="1:14" x14ac:dyDescent="0.3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6"/>
      <c r="L1370" s="15" t="str">
        <f>IF(E1370="","",IFERROR(INDEX(Aliases!$B$5:$B$80,MATCH(1,INDEX(ISNUMBER(SEARCH(Aliases!$A$5:$A$80,E1370))*(Aliases!$A$5:$A$80&lt;&gt;""),0),0)),"UNMATCHED"))</f>
        <v/>
      </c>
      <c r="M1370" s="16"/>
      <c r="N1370" s="16"/>
    </row>
    <row r="1371" spans="1:14" x14ac:dyDescent="0.3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6"/>
      <c r="L1371" s="15" t="str">
        <f>IF(E1371="","",IFERROR(INDEX(Aliases!$B$5:$B$80,MATCH(1,INDEX(ISNUMBER(SEARCH(Aliases!$A$5:$A$80,E1371))*(Aliases!$A$5:$A$80&lt;&gt;""),0),0)),"UNMATCHED"))</f>
        <v/>
      </c>
      <c r="M1371" s="16"/>
      <c r="N1371" s="16"/>
    </row>
    <row r="1372" spans="1:14" x14ac:dyDescent="0.3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6"/>
      <c r="L1372" s="15" t="str">
        <f>IF(E1372="","",IFERROR(INDEX(Aliases!$B$5:$B$80,MATCH(1,INDEX(ISNUMBER(SEARCH(Aliases!$A$5:$A$80,E1372))*(Aliases!$A$5:$A$80&lt;&gt;""),0),0)),"UNMATCHED"))</f>
        <v/>
      </c>
      <c r="M1372" s="16"/>
      <c r="N1372" s="16"/>
    </row>
    <row r="1373" spans="1:14" x14ac:dyDescent="0.3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6"/>
      <c r="L1373" s="15" t="str">
        <f>IF(E1373="","",IFERROR(INDEX(Aliases!$B$5:$B$80,MATCH(1,INDEX(ISNUMBER(SEARCH(Aliases!$A$5:$A$80,E1373))*(Aliases!$A$5:$A$80&lt;&gt;""),0),0)),"UNMATCHED"))</f>
        <v/>
      </c>
      <c r="M1373" s="16"/>
      <c r="N1373" s="16"/>
    </row>
    <row r="1374" spans="1:14" x14ac:dyDescent="0.3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6"/>
      <c r="L1374" s="15" t="str">
        <f>IF(E1374="","",IFERROR(INDEX(Aliases!$B$5:$B$80,MATCH(1,INDEX(ISNUMBER(SEARCH(Aliases!$A$5:$A$80,E1374))*(Aliases!$A$5:$A$80&lt;&gt;""),0),0)),"UNMATCHED"))</f>
        <v/>
      </c>
      <c r="M1374" s="16"/>
      <c r="N1374" s="16"/>
    </row>
    <row r="1375" spans="1:14" x14ac:dyDescent="0.3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6"/>
      <c r="L1375" s="15" t="str">
        <f>IF(E1375="","",IFERROR(INDEX(Aliases!$B$5:$B$80,MATCH(1,INDEX(ISNUMBER(SEARCH(Aliases!$A$5:$A$80,E1375))*(Aliases!$A$5:$A$80&lt;&gt;""),0),0)),"UNMATCHED"))</f>
        <v/>
      </c>
      <c r="M1375" s="16"/>
      <c r="N1375" s="16"/>
    </row>
    <row r="1376" spans="1:14" x14ac:dyDescent="0.3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6"/>
      <c r="L1376" s="15" t="str">
        <f>IF(E1376="","",IFERROR(INDEX(Aliases!$B$5:$B$80,MATCH(1,INDEX(ISNUMBER(SEARCH(Aliases!$A$5:$A$80,E1376))*(Aliases!$A$5:$A$80&lt;&gt;""),0),0)),"UNMATCHED"))</f>
        <v/>
      </c>
      <c r="M1376" s="16"/>
      <c r="N1376" s="16"/>
    </row>
    <row r="1377" spans="1:14" x14ac:dyDescent="0.3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6"/>
      <c r="L1377" s="15" t="str">
        <f>IF(E1377="","",IFERROR(INDEX(Aliases!$B$5:$B$80,MATCH(1,INDEX(ISNUMBER(SEARCH(Aliases!$A$5:$A$80,E1377))*(Aliases!$A$5:$A$80&lt;&gt;""),0),0)),"UNMATCHED"))</f>
        <v/>
      </c>
      <c r="M1377" s="16"/>
      <c r="N1377" s="16"/>
    </row>
    <row r="1378" spans="1:14" x14ac:dyDescent="0.3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6"/>
      <c r="L1378" s="15" t="str">
        <f>IF(E1378="","",IFERROR(INDEX(Aliases!$B$5:$B$80,MATCH(1,INDEX(ISNUMBER(SEARCH(Aliases!$A$5:$A$80,E1378))*(Aliases!$A$5:$A$80&lt;&gt;""),0),0)),"UNMATCHED"))</f>
        <v/>
      </c>
      <c r="M1378" s="16"/>
      <c r="N1378" s="16"/>
    </row>
    <row r="1379" spans="1:14" x14ac:dyDescent="0.3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6"/>
      <c r="L1379" s="15" t="str">
        <f>IF(E1379="","",IFERROR(INDEX(Aliases!$B$5:$B$80,MATCH(1,INDEX(ISNUMBER(SEARCH(Aliases!$A$5:$A$80,E1379))*(Aliases!$A$5:$A$80&lt;&gt;""),0),0)),"UNMATCHED"))</f>
        <v/>
      </c>
      <c r="M1379" s="16"/>
      <c r="N1379" s="16"/>
    </row>
    <row r="1380" spans="1:14" x14ac:dyDescent="0.3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6"/>
      <c r="L1380" s="15" t="str">
        <f>IF(E1380="","",IFERROR(INDEX(Aliases!$B$5:$B$80,MATCH(1,INDEX(ISNUMBER(SEARCH(Aliases!$A$5:$A$80,E1380))*(Aliases!$A$5:$A$80&lt;&gt;""),0),0)),"UNMATCHED"))</f>
        <v/>
      </c>
      <c r="M1380" s="16"/>
      <c r="N1380" s="16"/>
    </row>
    <row r="1381" spans="1:14" x14ac:dyDescent="0.3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6"/>
      <c r="L1381" s="15" t="str">
        <f>IF(E1381="","",IFERROR(INDEX(Aliases!$B$5:$B$80,MATCH(1,INDEX(ISNUMBER(SEARCH(Aliases!$A$5:$A$80,E1381))*(Aliases!$A$5:$A$80&lt;&gt;""),0),0)),"UNMATCHED"))</f>
        <v/>
      </c>
      <c r="M1381" s="16"/>
      <c r="N1381" s="16"/>
    </row>
    <row r="1382" spans="1:14" x14ac:dyDescent="0.3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6"/>
      <c r="L1382" s="15" t="str">
        <f>IF(E1382="","",IFERROR(INDEX(Aliases!$B$5:$B$80,MATCH(1,INDEX(ISNUMBER(SEARCH(Aliases!$A$5:$A$80,E1382))*(Aliases!$A$5:$A$80&lt;&gt;""),0),0)),"UNMATCHED"))</f>
        <v/>
      </c>
      <c r="M1382" s="16"/>
      <c r="N1382" s="16"/>
    </row>
    <row r="1383" spans="1:14" x14ac:dyDescent="0.3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6"/>
      <c r="L1383" s="15" t="str">
        <f>IF(E1383="","",IFERROR(INDEX(Aliases!$B$5:$B$80,MATCH(1,INDEX(ISNUMBER(SEARCH(Aliases!$A$5:$A$80,E1383))*(Aliases!$A$5:$A$80&lt;&gt;""),0),0)),"UNMATCHED"))</f>
        <v/>
      </c>
      <c r="M1383" s="16"/>
      <c r="N1383" s="16"/>
    </row>
    <row r="1384" spans="1:14" x14ac:dyDescent="0.3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6"/>
      <c r="L1384" s="15" t="str">
        <f>IF(E1384="","",IFERROR(INDEX(Aliases!$B$5:$B$80,MATCH(1,INDEX(ISNUMBER(SEARCH(Aliases!$A$5:$A$80,E1384))*(Aliases!$A$5:$A$80&lt;&gt;""),0),0)),"UNMATCHED"))</f>
        <v/>
      </c>
      <c r="M1384" s="16"/>
      <c r="N1384" s="16"/>
    </row>
    <row r="1385" spans="1:14" x14ac:dyDescent="0.3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6"/>
      <c r="L1385" s="15" t="str">
        <f>IF(E1385="","",IFERROR(INDEX(Aliases!$B$5:$B$80,MATCH(1,INDEX(ISNUMBER(SEARCH(Aliases!$A$5:$A$80,E1385))*(Aliases!$A$5:$A$80&lt;&gt;""),0),0)),"UNMATCHED"))</f>
        <v/>
      </c>
      <c r="M1385" s="16"/>
      <c r="N1385" s="16"/>
    </row>
    <row r="1386" spans="1:14" x14ac:dyDescent="0.3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6"/>
      <c r="L1386" s="15" t="str">
        <f>IF(E1386="","",IFERROR(INDEX(Aliases!$B$5:$B$80,MATCH(1,INDEX(ISNUMBER(SEARCH(Aliases!$A$5:$A$80,E1386))*(Aliases!$A$5:$A$80&lt;&gt;""),0),0)),"UNMATCHED"))</f>
        <v/>
      </c>
      <c r="M1386" s="16"/>
      <c r="N1386" s="16"/>
    </row>
    <row r="1387" spans="1:14" x14ac:dyDescent="0.3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6"/>
      <c r="L1387" s="15" t="str">
        <f>IF(E1387="","",IFERROR(INDEX(Aliases!$B$5:$B$80,MATCH(1,INDEX(ISNUMBER(SEARCH(Aliases!$A$5:$A$80,E1387))*(Aliases!$A$5:$A$80&lt;&gt;""),0),0)),"UNMATCHED"))</f>
        <v/>
      </c>
      <c r="M1387" s="16"/>
      <c r="N1387" s="16"/>
    </row>
    <row r="1388" spans="1:14" x14ac:dyDescent="0.3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6"/>
      <c r="L1388" s="15" t="str">
        <f>IF(E1388="","",IFERROR(INDEX(Aliases!$B$5:$B$80,MATCH(1,INDEX(ISNUMBER(SEARCH(Aliases!$A$5:$A$80,E1388))*(Aliases!$A$5:$A$80&lt;&gt;""),0),0)),"UNMATCHED"))</f>
        <v/>
      </c>
      <c r="M1388" s="16"/>
      <c r="N1388" s="16"/>
    </row>
    <row r="1389" spans="1:14" x14ac:dyDescent="0.3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6"/>
      <c r="L1389" s="15" t="str">
        <f>IF(E1389="","",IFERROR(INDEX(Aliases!$B$5:$B$80,MATCH(1,INDEX(ISNUMBER(SEARCH(Aliases!$A$5:$A$80,E1389))*(Aliases!$A$5:$A$80&lt;&gt;""),0),0)),"UNMATCHED"))</f>
        <v/>
      </c>
      <c r="M1389" s="16"/>
      <c r="N1389" s="16"/>
    </row>
    <row r="1390" spans="1:14" x14ac:dyDescent="0.3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6"/>
      <c r="L1390" s="15" t="str">
        <f>IF(E1390="","",IFERROR(INDEX(Aliases!$B$5:$B$80,MATCH(1,INDEX(ISNUMBER(SEARCH(Aliases!$A$5:$A$80,E1390))*(Aliases!$A$5:$A$80&lt;&gt;""),0),0)),"UNMATCHED"))</f>
        <v/>
      </c>
      <c r="M1390" s="16"/>
      <c r="N1390" s="16"/>
    </row>
    <row r="1391" spans="1:14" x14ac:dyDescent="0.3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6"/>
      <c r="L1391" s="15" t="str">
        <f>IF(E1391="","",IFERROR(INDEX(Aliases!$B$5:$B$80,MATCH(1,INDEX(ISNUMBER(SEARCH(Aliases!$A$5:$A$80,E1391))*(Aliases!$A$5:$A$80&lt;&gt;""),0),0)),"UNMATCHED"))</f>
        <v/>
      </c>
      <c r="M1391" s="16"/>
      <c r="N1391" s="16"/>
    </row>
    <row r="1392" spans="1:14" x14ac:dyDescent="0.3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6"/>
      <c r="L1392" s="15" t="str">
        <f>IF(E1392="","",IFERROR(INDEX(Aliases!$B$5:$B$80,MATCH(1,INDEX(ISNUMBER(SEARCH(Aliases!$A$5:$A$80,E1392))*(Aliases!$A$5:$A$80&lt;&gt;""),0),0)),"UNMATCHED"))</f>
        <v/>
      </c>
      <c r="M1392" s="16"/>
      <c r="N1392" s="16"/>
    </row>
    <row r="1393" spans="1:14" x14ac:dyDescent="0.3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6"/>
      <c r="L1393" s="15" t="str">
        <f>IF(E1393="","",IFERROR(INDEX(Aliases!$B$5:$B$80,MATCH(1,INDEX(ISNUMBER(SEARCH(Aliases!$A$5:$A$80,E1393))*(Aliases!$A$5:$A$80&lt;&gt;""),0),0)),"UNMATCHED"))</f>
        <v/>
      </c>
      <c r="M1393" s="16"/>
      <c r="N1393" s="16"/>
    </row>
    <row r="1394" spans="1:14" x14ac:dyDescent="0.3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6"/>
      <c r="L1394" s="15" t="str">
        <f>IF(E1394="","",IFERROR(INDEX(Aliases!$B$5:$B$80,MATCH(1,INDEX(ISNUMBER(SEARCH(Aliases!$A$5:$A$80,E1394))*(Aliases!$A$5:$A$80&lt;&gt;""),0),0)),"UNMATCHED"))</f>
        <v/>
      </c>
      <c r="M1394" s="16"/>
      <c r="N1394" s="16"/>
    </row>
    <row r="1395" spans="1:14" x14ac:dyDescent="0.3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6"/>
      <c r="L1395" s="15" t="str">
        <f>IF(E1395="","",IFERROR(INDEX(Aliases!$B$5:$B$80,MATCH(1,INDEX(ISNUMBER(SEARCH(Aliases!$A$5:$A$80,E1395))*(Aliases!$A$5:$A$80&lt;&gt;""),0),0)),"UNMATCHED"))</f>
        <v/>
      </c>
      <c r="M1395" s="16"/>
      <c r="N1395" s="16"/>
    </row>
    <row r="1396" spans="1:14" x14ac:dyDescent="0.3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6"/>
      <c r="L1396" s="15" t="str">
        <f>IF(E1396="","",IFERROR(INDEX(Aliases!$B$5:$B$80,MATCH(1,INDEX(ISNUMBER(SEARCH(Aliases!$A$5:$A$80,E1396))*(Aliases!$A$5:$A$80&lt;&gt;""),0),0)),"UNMATCHED"))</f>
        <v/>
      </c>
      <c r="M1396" s="16"/>
      <c r="N1396" s="16"/>
    </row>
    <row r="1397" spans="1:14" x14ac:dyDescent="0.3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6"/>
      <c r="L1397" s="15" t="str">
        <f>IF(E1397="","",IFERROR(INDEX(Aliases!$B$5:$B$80,MATCH(1,INDEX(ISNUMBER(SEARCH(Aliases!$A$5:$A$80,E1397))*(Aliases!$A$5:$A$80&lt;&gt;""),0),0)),"UNMATCHED"))</f>
        <v/>
      </c>
      <c r="M1397" s="16"/>
      <c r="N1397" s="16"/>
    </row>
    <row r="1398" spans="1:14" x14ac:dyDescent="0.3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6"/>
      <c r="L1398" s="15" t="str">
        <f>IF(E1398="","",IFERROR(INDEX(Aliases!$B$5:$B$80,MATCH(1,INDEX(ISNUMBER(SEARCH(Aliases!$A$5:$A$80,E1398))*(Aliases!$A$5:$A$80&lt;&gt;""),0),0)),"UNMATCHED"))</f>
        <v/>
      </c>
      <c r="M1398" s="16"/>
      <c r="N1398" s="16"/>
    </row>
    <row r="1399" spans="1:14" x14ac:dyDescent="0.3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6"/>
      <c r="L1399" s="15" t="str">
        <f>IF(E1399="","",IFERROR(INDEX(Aliases!$B$5:$B$80,MATCH(1,INDEX(ISNUMBER(SEARCH(Aliases!$A$5:$A$80,E1399))*(Aliases!$A$5:$A$80&lt;&gt;""),0),0)),"UNMATCHED"))</f>
        <v/>
      </c>
      <c r="M1399" s="16"/>
      <c r="N1399" s="16"/>
    </row>
    <row r="1400" spans="1:14" x14ac:dyDescent="0.3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6"/>
      <c r="L1400" s="15" t="str">
        <f>IF(E1400="","",IFERROR(INDEX(Aliases!$B$5:$B$80,MATCH(1,INDEX(ISNUMBER(SEARCH(Aliases!$A$5:$A$80,E1400))*(Aliases!$A$5:$A$80&lt;&gt;""),0),0)),"UNMATCHED"))</f>
        <v/>
      </c>
      <c r="M1400" s="16"/>
      <c r="N1400" s="16"/>
    </row>
    <row r="1401" spans="1:14" x14ac:dyDescent="0.3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6"/>
      <c r="L1401" s="15" t="str">
        <f>IF(E1401="","",IFERROR(INDEX(Aliases!$B$5:$B$80,MATCH(1,INDEX(ISNUMBER(SEARCH(Aliases!$A$5:$A$80,E1401))*(Aliases!$A$5:$A$80&lt;&gt;""),0),0)),"UNMATCHED"))</f>
        <v/>
      </c>
      <c r="M1401" s="16"/>
      <c r="N1401" s="16"/>
    </row>
    <row r="1402" spans="1:14" x14ac:dyDescent="0.3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6"/>
      <c r="L1402" s="15" t="str">
        <f>IF(E1402="","",IFERROR(INDEX(Aliases!$B$5:$B$80,MATCH(1,INDEX(ISNUMBER(SEARCH(Aliases!$A$5:$A$80,E1402))*(Aliases!$A$5:$A$80&lt;&gt;""),0),0)),"UNMATCHED"))</f>
        <v/>
      </c>
      <c r="M1402" s="16"/>
      <c r="N1402" s="16"/>
    </row>
    <row r="1403" spans="1:14" x14ac:dyDescent="0.3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6"/>
      <c r="L1403" s="15" t="str">
        <f>IF(E1403="","",IFERROR(INDEX(Aliases!$B$5:$B$80,MATCH(1,INDEX(ISNUMBER(SEARCH(Aliases!$A$5:$A$80,E1403))*(Aliases!$A$5:$A$80&lt;&gt;""),0),0)),"UNMATCHED"))</f>
        <v/>
      </c>
      <c r="M1403" s="16"/>
      <c r="N1403" s="16"/>
    </row>
    <row r="1404" spans="1:14" x14ac:dyDescent="0.3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6"/>
      <c r="L1404" s="15" t="str">
        <f>IF(E1404="","",IFERROR(INDEX(Aliases!$B$5:$B$80,MATCH(1,INDEX(ISNUMBER(SEARCH(Aliases!$A$5:$A$80,E1404))*(Aliases!$A$5:$A$80&lt;&gt;""),0),0)),"UNMATCHED"))</f>
        <v/>
      </c>
      <c r="M1404" s="16"/>
      <c r="N1404" s="16"/>
    </row>
    <row r="1405" spans="1:14" x14ac:dyDescent="0.3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6"/>
      <c r="L1405" s="15" t="str">
        <f>IF(E1405="","",IFERROR(INDEX(Aliases!$B$5:$B$80,MATCH(1,INDEX(ISNUMBER(SEARCH(Aliases!$A$5:$A$80,E1405))*(Aliases!$A$5:$A$80&lt;&gt;""),0),0)),"UNMATCHED"))</f>
        <v/>
      </c>
      <c r="M1405" s="16"/>
      <c r="N1405" s="16"/>
    </row>
    <row r="1406" spans="1:14" x14ac:dyDescent="0.3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6"/>
      <c r="L1406" s="15" t="str">
        <f>IF(E1406="","",IFERROR(INDEX(Aliases!$B$5:$B$80,MATCH(1,INDEX(ISNUMBER(SEARCH(Aliases!$A$5:$A$80,E1406))*(Aliases!$A$5:$A$80&lt;&gt;""),0),0)),"UNMATCHED"))</f>
        <v/>
      </c>
      <c r="M1406" s="16"/>
      <c r="N1406" s="16"/>
    </row>
    <row r="1407" spans="1:14" x14ac:dyDescent="0.3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6"/>
      <c r="L1407" s="15" t="str">
        <f>IF(E1407="","",IFERROR(INDEX(Aliases!$B$5:$B$80,MATCH(1,INDEX(ISNUMBER(SEARCH(Aliases!$A$5:$A$80,E1407))*(Aliases!$A$5:$A$80&lt;&gt;""),0),0)),"UNMATCHED"))</f>
        <v/>
      </c>
      <c r="M1407" s="16"/>
      <c r="N1407" s="16"/>
    </row>
    <row r="1408" spans="1:14" x14ac:dyDescent="0.3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6"/>
      <c r="L1408" s="15" t="str">
        <f>IF(E1408="","",IFERROR(INDEX(Aliases!$B$5:$B$80,MATCH(1,INDEX(ISNUMBER(SEARCH(Aliases!$A$5:$A$80,E1408))*(Aliases!$A$5:$A$80&lt;&gt;""),0),0)),"UNMATCHED"))</f>
        <v/>
      </c>
      <c r="M1408" s="16"/>
      <c r="N1408" s="16"/>
    </row>
    <row r="1409" spans="1:14" x14ac:dyDescent="0.3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6"/>
      <c r="L1409" s="15" t="str">
        <f>IF(E1409="","",IFERROR(INDEX(Aliases!$B$5:$B$80,MATCH(1,INDEX(ISNUMBER(SEARCH(Aliases!$A$5:$A$80,E1409))*(Aliases!$A$5:$A$80&lt;&gt;""),0),0)),"UNMATCHED"))</f>
        <v/>
      </c>
      <c r="M1409" s="16"/>
      <c r="N1409" s="16"/>
    </row>
    <row r="1410" spans="1:14" x14ac:dyDescent="0.3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6"/>
      <c r="L1410" s="15" t="str">
        <f>IF(E1410="","",IFERROR(INDEX(Aliases!$B$5:$B$80,MATCH(1,INDEX(ISNUMBER(SEARCH(Aliases!$A$5:$A$80,E1410))*(Aliases!$A$5:$A$80&lt;&gt;""),0),0)),"UNMATCHED"))</f>
        <v/>
      </c>
      <c r="M1410" s="16"/>
      <c r="N1410" s="16"/>
    </row>
    <row r="1411" spans="1:14" x14ac:dyDescent="0.3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6"/>
      <c r="L1411" s="15" t="str">
        <f>IF(E1411="","",IFERROR(INDEX(Aliases!$B$5:$B$80,MATCH(1,INDEX(ISNUMBER(SEARCH(Aliases!$A$5:$A$80,E1411))*(Aliases!$A$5:$A$80&lt;&gt;""),0),0)),"UNMATCHED"))</f>
        <v/>
      </c>
      <c r="M1411" s="16"/>
      <c r="N1411" s="16"/>
    </row>
    <row r="1412" spans="1:14" x14ac:dyDescent="0.3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6"/>
      <c r="L1412" s="15" t="str">
        <f>IF(E1412="","",IFERROR(INDEX(Aliases!$B$5:$B$80,MATCH(1,INDEX(ISNUMBER(SEARCH(Aliases!$A$5:$A$80,E1412))*(Aliases!$A$5:$A$80&lt;&gt;""),0),0)),"UNMATCHED"))</f>
        <v/>
      </c>
      <c r="M1412" s="16"/>
      <c r="N1412" s="16"/>
    </row>
    <row r="1413" spans="1:14" x14ac:dyDescent="0.3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6"/>
      <c r="L1413" s="15" t="str">
        <f>IF(E1413="","",IFERROR(INDEX(Aliases!$B$5:$B$80,MATCH(1,INDEX(ISNUMBER(SEARCH(Aliases!$A$5:$A$80,E1413))*(Aliases!$A$5:$A$80&lt;&gt;""),0),0)),"UNMATCHED"))</f>
        <v/>
      </c>
      <c r="M1413" s="16"/>
      <c r="N1413" s="16"/>
    </row>
    <row r="1414" spans="1:14" x14ac:dyDescent="0.3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6"/>
      <c r="L1414" s="15" t="str">
        <f>IF(E1414="","",IFERROR(INDEX(Aliases!$B$5:$B$80,MATCH(1,INDEX(ISNUMBER(SEARCH(Aliases!$A$5:$A$80,E1414))*(Aliases!$A$5:$A$80&lt;&gt;""),0),0)),"UNMATCHED"))</f>
        <v/>
      </c>
      <c r="M1414" s="16"/>
      <c r="N1414" s="16"/>
    </row>
    <row r="1415" spans="1:14" x14ac:dyDescent="0.3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6"/>
      <c r="L1415" s="15" t="str">
        <f>IF(E1415="","",IFERROR(INDEX(Aliases!$B$5:$B$80,MATCH(1,INDEX(ISNUMBER(SEARCH(Aliases!$A$5:$A$80,E1415))*(Aliases!$A$5:$A$80&lt;&gt;""),0),0)),"UNMATCHED"))</f>
        <v/>
      </c>
      <c r="M1415" s="16"/>
      <c r="N1415" s="16"/>
    </row>
    <row r="1416" spans="1:14" x14ac:dyDescent="0.3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6"/>
      <c r="L1416" s="15" t="str">
        <f>IF(E1416="","",IFERROR(INDEX(Aliases!$B$5:$B$80,MATCH(1,INDEX(ISNUMBER(SEARCH(Aliases!$A$5:$A$80,E1416))*(Aliases!$A$5:$A$80&lt;&gt;""),0),0)),"UNMATCHED"))</f>
        <v/>
      </c>
      <c r="M1416" s="16"/>
      <c r="N1416" s="16"/>
    </row>
    <row r="1417" spans="1:14" x14ac:dyDescent="0.3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6"/>
      <c r="L1417" s="15" t="str">
        <f>IF(E1417="","",IFERROR(INDEX(Aliases!$B$5:$B$80,MATCH(1,INDEX(ISNUMBER(SEARCH(Aliases!$A$5:$A$80,E1417))*(Aliases!$A$5:$A$80&lt;&gt;""),0),0)),"UNMATCHED"))</f>
        <v/>
      </c>
      <c r="M1417" s="16"/>
      <c r="N1417" s="16"/>
    </row>
    <row r="1418" spans="1:14" x14ac:dyDescent="0.3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6"/>
      <c r="L1418" s="15" t="str">
        <f>IF(E1418="","",IFERROR(INDEX(Aliases!$B$5:$B$80,MATCH(1,INDEX(ISNUMBER(SEARCH(Aliases!$A$5:$A$80,E1418))*(Aliases!$A$5:$A$80&lt;&gt;""),0),0)),"UNMATCHED"))</f>
        <v/>
      </c>
      <c r="M1418" s="16"/>
      <c r="N1418" s="16"/>
    </row>
    <row r="1419" spans="1:14" x14ac:dyDescent="0.3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6"/>
      <c r="L1419" s="15" t="str">
        <f>IF(E1419="","",IFERROR(INDEX(Aliases!$B$5:$B$80,MATCH(1,INDEX(ISNUMBER(SEARCH(Aliases!$A$5:$A$80,E1419))*(Aliases!$A$5:$A$80&lt;&gt;""),0),0)),"UNMATCHED"))</f>
        <v/>
      </c>
      <c r="M1419" s="16"/>
      <c r="N1419" s="16"/>
    </row>
    <row r="1420" spans="1:14" x14ac:dyDescent="0.3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6"/>
      <c r="L1420" s="15" t="str">
        <f>IF(E1420="","",IFERROR(INDEX(Aliases!$B$5:$B$80,MATCH(1,INDEX(ISNUMBER(SEARCH(Aliases!$A$5:$A$80,E1420))*(Aliases!$A$5:$A$80&lt;&gt;""),0),0)),"UNMATCHED"))</f>
        <v/>
      </c>
      <c r="M1420" s="16"/>
      <c r="N1420" s="16"/>
    </row>
    <row r="1421" spans="1:14" x14ac:dyDescent="0.3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6"/>
      <c r="L1421" s="15" t="str">
        <f>IF(E1421="","",IFERROR(INDEX(Aliases!$B$5:$B$80,MATCH(1,INDEX(ISNUMBER(SEARCH(Aliases!$A$5:$A$80,E1421))*(Aliases!$A$5:$A$80&lt;&gt;""),0),0)),"UNMATCHED"))</f>
        <v/>
      </c>
      <c r="M1421" s="16"/>
      <c r="N1421" s="16"/>
    </row>
    <row r="1422" spans="1:14" x14ac:dyDescent="0.3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6"/>
      <c r="L1422" s="15" t="str">
        <f>IF(E1422="","",IFERROR(INDEX(Aliases!$B$5:$B$80,MATCH(1,INDEX(ISNUMBER(SEARCH(Aliases!$A$5:$A$80,E1422))*(Aliases!$A$5:$A$80&lt;&gt;""),0),0)),"UNMATCHED"))</f>
        <v/>
      </c>
      <c r="M1422" s="16"/>
      <c r="N1422" s="16"/>
    </row>
    <row r="1423" spans="1:14" x14ac:dyDescent="0.3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6"/>
      <c r="L1423" s="15" t="str">
        <f>IF(E1423="","",IFERROR(INDEX(Aliases!$B$5:$B$80,MATCH(1,INDEX(ISNUMBER(SEARCH(Aliases!$A$5:$A$80,E1423))*(Aliases!$A$5:$A$80&lt;&gt;""),0),0)),"UNMATCHED"))</f>
        <v/>
      </c>
      <c r="M1423" s="16"/>
      <c r="N1423" s="16"/>
    </row>
    <row r="1424" spans="1:14" x14ac:dyDescent="0.3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6"/>
      <c r="L1424" s="15" t="str">
        <f>IF(E1424="","",IFERROR(INDEX(Aliases!$B$5:$B$80,MATCH(1,INDEX(ISNUMBER(SEARCH(Aliases!$A$5:$A$80,E1424))*(Aliases!$A$5:$A$80&lt;&gt;""),0),0)),"UNMATCHED"))</f>
        <v/>
      </c>
      <c r="M1424" s="16"/>
      <c r="N1424" s="16"/>
    </row>
    <row r="1425" spans="1:14" x14ac:dyDescent="0.3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6"/>
      <c r="L1425" s="15" t="str">
        <f>IF(E1425="","",IFERROR(INDEX(Aliases!$B$5:$B$80,MATCH(1,INDEX(ISNUMBER(SEARCH(Aliases!$A$5:$A$80,E1425))*(Aliases!$A$5:$A$80&lt;&gt;""),0),0)),"UNMATCHED"))</f>
        <v/>
      </c>
      <c r="M1425" s="16"/>
      <c r="N1425" s="16"/>
    </row>
    <row r="1426" spans="1:14" x14ac:dyDescent="0.3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6"/>
      <c r="L1426" s="15" t="str">
        <f>IF(E1426="","",IFERROR(INDEX(Aliases!$B$5:$B$80,MATCH(1,INDEX(ISNUMBER(SEARCH(Aliases!$A$5:$A$80,E1426))*(Aliases!$A$5:$A$80&lt;&gt;""),0),0)),"UNMATCHED"))</f>
        <v/>
      </c>
      <c r="M1426" s="16"/>
      <c r="N1426" s="16"/>
    </row>
    <row r="1427" spans="1:14" x14ac:dyDescent="0.3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6"/>
      <c r="L1427" s="15" t="str">
        <f>IF(E1427="","",IFERROR(INDEX(Aliases!$B$5:$B$80,MATCH(1,INDEX(ISNUMBER(SEARCH(Aliases!$A$5:$A$80,E1427))*(Aliases!$A$5:$A$80&lt;&gt;""),0),0)),"UNMATCHED"))</f>
        <v/>
      </c>
      <c r="M1427" s="16"/>
      <c r="N1427" s="16"/>
    </row>
    <row r="1428" spans="1:14" x14ac:dyDescent="0.3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6"/>
      <c r="L1428" s="15" t="str">
        <f>IF(E1428="","",IFERROR(INDEX(Aliases!$B$5:$B$80,MATCH(1,INDEX(ISNUMBER(SEARCH(Aliases!$A$5:$A$80,E1428))*(Aliases!$A$5:$A$80&lt;&gt;""),0),0)),"UNMATCHED"))</f>
        <v/>
      </c>
      <c r="M1428" s="16"/>
      <c r="N1428" s="16"/>
    </row>
    <row r="1429" spans="1:14" x14ac:dyDescent="0.3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6"/>
      <c r="L1429" s="15" t="str">
        <f>IF(E1429="","",IFERROR(INDEX(Aliases!$B$5:$B$80,MATCH(1,INDEX(ISNUMBER(SEARCH(Aliases!$A$5:$A$80,E1429))*(Aliases!$A$5:$A$80&lt;&gt;""),0),0)),"UNMATCHED"))</f>
        <v/>
      </c>
      <c r="M1429" s="16"/>
      <c r="N1429" s="16"/>
    </row>
    <row r="1430" spans="1:14" x14ac:dyDescent="0.3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6"/>
      <c r="L1430" s="15" t="str">
        <f>IF(E1430="","",IFERROR(INDEX(Aliases!$B$5:$B$80,MATCH(1,INDEX(ISNUMBER(SEARCH(Aliases!$A$5:$A$80,E1430))*(Aliases!$A$5:$A$80&lt;&gt;""),0),0)),"UNMATCHED"))</f>
        <v/>
      </c>
      <c r="M1430" s="16"/>
      <c r="N1430" s="16"/>
    </row>
    <row r="1431" spans="1:14" x14ac:dyDescent="0.3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6"/>
      <c r="L1431" s="15" t="str">
        <f>IF(E1431="","",IFERROR(INDEX(Aliases!$B$5:$B$80,MATCH(1,INDEX(ISNUMBER(SEARCH(Aliases!$A$5:$A$80,E1431))*(Aliases!$A$5:$A$80&lt;&gt;""),0),0)),"UNMATCHED"))</f>
        <v/>
      </c>
      <c r="M1431" s="16"/>
      <c r="N1431" s="16"/>
    </row>
    <row r="1432" spans="1:14" x14ac:dyDescent="0.3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6"/>
      <c r="L1432" s="15" t="str">
        <f>IF(E1432="","",IFERROR(INDEX(Aliases!$B$5:$B$80,MATCH(1,INDEX(ISNUMBER(SEARCH(Aliases!$A$5:$A$80,E1432))*(Aliases!$A$5:$A$80&lt;&gt;""),0),0)),"UNMATCHED"))</f>
        <v/>
      </c>
      <c r="M1432" s="16"/>
      <c r="N1432" s="16"/>
    </row>
    <row r="1433" spans="1:14" x14ac:dyDescent="0.3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6"/>
      <c r="L1433" s="15" t="str">
        <f>IF(E1433="","",IFERROR(INDEX(Aliases!$B$5:$B$80,MATCH(1,INDEX(ISNUMBER(SEARCH(Aliases!$A$5:$A$80,E1433))*(Aliases!$A$5:$A$80&lt;&gt;""),0),0)),"UNMATCHED"))</f>
        <v/>
      </c>
      <c r="M1433" s="16"/>
      <c r="N1433" s="16"/>
    </row>
    <row r="1434" spans="1:14" x14ac:dyDescent="0.3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6"/>
      <c r="L1434" s="15" t="str">
        <f>IF(E1434="","",IFERROR(INDEX(Aliases!$B$5:$B$80,MATCH(1,INDEX(ISNUMBER(SEARCH(Aliases!$A$5:$A$80,E1434))*(Aliases!$A$5:$A$80&lt;&gt;""),0),0)),"UNMATCHED"))</f>
        <v/>
      </c>
      <c r="M1434" s="16"/>
      <c r="N1434" s="16"/>
    </row>
    <row r="1435" spans="1:14" x14ac:dyDescent="0.3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6"/>
      <c r="L1435" s="15" t="str">
        <f>IF(E1435="","",IFERROR(INDEX(Aliases!$B$5:$B$80,MATCH(1,INDEX(ISNUMBER(SEARCH(Aliases!$A$5:$A$80,E1435))*(Aliases!$A$5:$A$80&lt;&gt;""),0),0)),"UNMATCHED"))</f>
        <v/>
      </c>
      <c r="M1435" s="16"/>
      <c r="N1435" s="16"/>
    </row>
    <row r="1436" spans="1:14" x14ac:dyDescent="0.3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6"/>
      <c r="L1436" s="15" t="str">
        <f>IF(E1436="","",IFERROR(INDEX(Aliases!$B$5:$B$80,MATCH(1,INDEX(ISNUMBER(SEARCH(Aliases!$A$5:$A$80,E1436))*(Aliases!$A$5:$A$80&lt;&gt;""),0),0)),"UNMATCHED"))</f>
        <v/>
      </c>
      <c r="M1436" s="16"/>
      <c r="N1436" s="16"/>
    </row>
    <row r="1437" spans="1:14" x14ac:dyDescent="0.3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6"/>
      <c r="L1437" s="15" t="str">
        <f>IF(E1437="","",IFERROR(INDEX(Aliases!$B$5:$B$80,MATCH(1,INDEX(ISNUMBER(SEARCH(Aliases!$A$5:$A$80,E1437))*(Aliases!$A$5:$A$80&lt;&gt;""),0),0)),"UNMATCHED"))</f>
        <v/>
      </c>
      <c r="M1437" s="16"/>
      <c r="N1437" s="16"/>
    </row>
    <row r="1438" spans="1:14" x14ac:dyDescent="0.3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6"/>
      <c r="L1438" s="15" t="str">
        <f>IF(E1438="","",IFERROR(INDEX(Aliases!$B$5:$B$80,MATCH(1,INDEX(ISNUMBER(SEARCH(Aliases!$A$5:$A$80,E1438))*(Aliases!$A$5:$A$80&lt;&gt;""),0),0)),"UNMATCHED"))</f>
        <v/>
      </c>
      <c r="M1438" s="16"/>
      <c r="N1438" s="16"/>
    </row>
    <row r="1439" spans="1:14" x14ac:dyDescent="0.3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6"/>
      <c r="L1439" s="15" t="str">
        <f>IF(E1439="","",IFERROR(INDEX(Aliases!$B$5:$B$80,MATCH(1,INDEX(ISNUMBER(SEARCH(Aliases!$A$5:$A$80,E1439))*(Aliases!$A$5:$A$80&lt;&gt;""),0),0)),"UNMATCHED"))</f>
        <v/>
      </c>
      <c r="M1439" s="16"/>
      <c r="N1439" s="16"/>
    </row>
    <row r="1440" spans="1:14" x14ac:dyDescent="0.3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6"/>
      <c r="L1440" s="15" t="str">
        <f>IF(E1440="","",IFERROR(INDEX(Aliases!$B$5:$B$80,MATCH(1,INDEX(ISNUMBER(SEARCH(Aliases!$A$5:$A$80,E1440))*(Aliases!$A$5:$A$80&lt;&gt;""),0),0)),"UNMATCHED"))</f>
        <v/>
      </c>
      <c r="M1440" s="16"/>
      <c r="N1440" s="16"/>
    </row>
    <row r="1441" spans="1:14" x14ac:dyDescent="0.3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6"/>
      <c r="L1441" s="15" t="str">
        <f>IF(E1441="","",IFERROR(INDEX(Aliases!$B$5:$B$80,MATCH(1,INDEX(ISNUMBER(SEARCH(Aliases!$A$5:$A$80,E1441))*(Aliases!$A$5:$A$80&lt;&gt;""),0),0)),"UNMATCHED"))</f>
        <v/>
      </c>
      <c r="M1441" s="16"/>
      <c r="N1441" s="16"/>
    </row>
    <row r="1442" spans="1:14" x14ac:dyDescent="0.3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6"/>
      <c r="L1442" s="15" t="str">
        <f>IF(E1442="","",IFERROR(INDEX(Aliases!$B$5:$B$80,MATCH(1,INDEX(ISNUMBER(SEARCH(Aliases!$A$5:$A$80,E1442))*(Aliases!$A$5:$A$80&lt;&gt;""),0),0)),"UNMATCHED"))</f>
        <v/>
      </c>
      <c r="M1442" s="16"/>
      <c r="N1442" s="16"/>
    </row>
    <row r="1443" spans="1:14" x14ac:dyDescent="0.3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6"/>
      <c r="L1443" s="15" t="str">
        <f>IF(E1443="","",IFERROR(INDEX(Aliases!$B$5:$B$80,MATCH(1,INDEX(ISNUMBER(SEARCH(Aliases!$A$5:$A$80,E1443))*(Aliases!$A$5:$A$80&lt;&gt;""),0),0)),"UNMATCHED"))</f>
        <v/>
      </c>
      <c r="M1443" s="16"/>
      <c r="N1443" s="16"/>
    </row>
    <row r="1444" spans="1:14" x14ac:dyDescent="0.3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6"/>
      <c r="L1444" s="15" t="str">
        <f>IF(E1444="","",IFERROR(INDEX(Aliases!$B$5:$B$80,MATCH(1,INDEX(ISNUMBER(SEARCH(Aliases!$A$5:$A$80,E1444))*(Aliases!$A$5:$A$80&lt;&gt;""),0),0)),"UNMATCHED"))</f>
        <v/>
      </c>
      <c r="M1444" s="16"/>
      <c r="N1444" s="16"/>
    </row>
    <row r="1445" spans="1:14" x14ac:dyDescent="0.3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6"/>
      <c r="L1445" s="15" t="str">
        <f>IF(E1445="","",IFERROR(INDEX(Aliases!$B$5:$B$80,MATCH(1,INDEX(ISNUMBER(SEARCH(Aliases!$A$5:$A$80,E1445))*(Aliases!$A$5:$A$80&lt;&gt;""),0),0)),"UNMATCHED"))</f>
        <v/>
      </c>
      <c r="M1445" s="16"/>
      <c r="N1445" s="16"/>
    </row>
    <row r="1446" spans="1:14" x14ac:dyDescent="0.3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6"/>
      <c r="L1446" s="15" t="str">
        <f>IF(E1446="","",IFERROR(INDEX(Aliases!$B$5:$B$80,MATCH(1,INDEX(ISNUMBER(SEARCH(Aliases!$A$5:$A$80,E1446))*(Aliases!$A$5:$A$80&lt;&gt;""),0),0)),"UNMATCHED"))</f>
        <v/>
      </c>
      <c r="M1446" s="16"/>
      <c r="N1446" s="16"/>
    </row>
    <row r="1447" spans="1:14" x14ac:dyDescent="0.3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6"/>
      <c r="L1447" s="15" t="str">
        <f>IF(E1447="","",IFERROR(INDEX(Aliases!$B$5:$B$80,MATCH(1,INDEX(ISNUMBER(SEARCH(Aliases!$A$5:$A$80,E1447))*(Aliases!$A$5:$A$80&lt;&gt;""),0),0)),"UNMATCHED"))</f>
        <v/>
      </c>
      <c r="M1447" s="16"/>
      <c r="N1447" s="16"/>
    </row>
    <row r="1448" spans="1:14" x14ac:dyDescent="0.3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6"/>
      <c r="L1448" s="15" t="str">
        <f>IF(E1448="","",IFERROR(INDEX(Aliases!$B$5:$B$80,MATCH(1,INDEX(ISNUMBER(SEARCH(Aliases!$A$5:$A$80,E1448))*(Aliases!$A$5:$A$80&lt;&gt;""),0),0)),"UNMATCHED"))</f>
        <v/>
      </c>
      <c r="M1448" s="16"/>
      <c r="N1448" s="16"/>
    </row>
    <row r="1449" spans="1:14" x14ac:dyDescent="0.3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6"/>
      <c r="L1449" s="15" t="str">
        <f>IF(E1449="","",IFERROR(INDEX(Aliases!$B$5:$B$80,MATCH(1,INDEX(ISNUMBER(SEARCH(Aliases!$A$5:$A$80,E1449))*(Aliases!$A$5:$A$80&lt;&gt;""),0),0)),"UNMATCHED"))</f>
        <v/>
      </c>
      <c r="M1449" s="16"/>
      <c r="N1449" s="16"/>
    </row>
    <row r="1450" spans="1:14" x14ac:dyDescent="0.3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6"/>
      <c r="L1450" s="15" t="str">
        <f>IF(E1450="","",IFERROR(INDEX(Aliases!$B$5:$B$80,MATCH(1,INDEX(ISNUMBER(SEARCH(Aliases!$A$5:$A$80,E1450))*(Aliases!$A$5:$A$80&lt;&gt;""),0),0)),"UNMATCHED"))</f>
        <v/>
      </c>
      <c r="M1450" s="16"/>
      <c r="N1450" s="16"/>
    </row>
    <row r="1451" spans="1:14" x14ac:dyDescent="0.3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6"/>
      <c r="L1451" s="15" t="str">
        <f>IF(E1451="","",IFERROR(INDEX(Aliases!$B$5:$B$80,MATCH(1,INDEX(ISNUMBER(SEARCH(Aliases!$A$5:$A$80,E1451))*(Aliases!$A$5:$A$80&lt;&gt;""),0),0)),"UNMATCHED"))</f>
        <v/>
      </c>
      <c r="M1451" s="16"/>
      <c r="N1451" s="16"/>
    </row>
    <row r="1452" spans="1:14" x14ac:dyDescent="0.3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6"/>
      <c r="L1452" s="15" t="str">
        <f>IF(E1452="","",IFERROR(INDEX(Aliases!$B$5:$B$80,MATCH(1,INDEX(ISNUMBER(SEARCH(Aliases!$A$5:$A$80,E1452))*(Aliases!$A$5:$A$80&lt;&gt;""),0),0)),"UNMATCHED"))</f>
        <v/>
      </c>
      <c r="M1452" s="16"/>
      <c r="N1452" s="16"/>
    </row>
    <row r="1453" spans="1:14" x14ac:dyDescent="0.3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6"/>
      <c r="L1453" s="15" t="str">
        <f>IF(E1453="","",IFERROR(INDEX(Aliases!$B$5:$B$80,MATCH(1,INDEX(ISNUMBER(SEARCH(Aliases!$A$5:$A$80,E1453))*(Aliases!$A$5:$A$80&lt;&gt;""),0),0)),"UNMATCHED"))</f>
        <v/>
      </c>
      <c r="M1453" s="16"/>
      <c r="N1453" s="16"/>
    </row>
    <row r="1454" spans="1:14" x14ac:dyDescent="0.3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6"/>
      <c r="L1454" s="15" t="str">
        <f>IF(E1454="","",IFERROR(INDEX(Aliases!$B$5:$B$80,MATCH(1,INDEX(ISNUMBER(SEARCH(Aliases!$A$5:$A$80,E1454))*(Aliases!$A$5:$A$80&lt;&gt;""),0),0)),"UNMATCHED"))</f>
        <v/>
      </c>
      <c r="M1454" s="16"/>
      <c r="N1454" s="16"/>
    </row>
    <row r="1455" spans="1:14" x14ac:dyDescent="0.3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6"/>
      <c r="L1455" s="15" t="str">
        <f>IF(E1455="","",IFERROR(INDEX(Aliases!$B$5:$B$80,MATCH(1,INDEX(ISNUMBER(SEARCH(Aliases!$A$5:$A$80,E1455))*(Aliases!$A$5:$A$80&lt;&gt;""),0),0)),"UNMATCHED"))</f>
        <v/>
      </c>
      <c r="M1455" s="16"/>
      <c r="N1455" s="16"/>
    </row>
    <row r="1456" spans="1:14" x14ac:dyDescent="0.3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6"/>
      <c r="L1456" s="15" t="str">
        <f>IF(E1456="","",IFERROR(INDEX(Aliases!$B$5:$B$80,MATCH(1,INDEX(ISNUMBER(SEARCH(Aliases!$A$5:$A$80,E1456))*(Aliases!$A$5:$A$80&lt;&gt;""),0),0)),"UNMATCHED"))</f>
        <v/>
      </c>
      <c r="M1456" s="16"/>
      <c r="N1456" s="16"/>
    </row>
    <row r="1457" spans="1:14" x14ac:dyDescent="0.3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6"/>
      <c r="L1457" s="15" t="str">
        <f>IF(E1457="","",IFERROR(INDEX(Aliases!$B$5:$B$80,MATCH(1,INDEX(ISNUMBER(SEARCH(Aliases!$A$5:$A$80,E1457))*(Aliases!$A$5:$A$80&lt;&gt;""),0),0)),"UNMATCHED"))</f>
        <v/>
      </c>
      <c r="M1457" s="16"/>
      <c r="N1457" s="16"/>
    </row>
    <row r="1458" spans="1:14" x14ac:dyDescent="0.3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6"/>
      <c r="L1458" s="15" t="str">
        <f>IF(E1458="","",IFERROR(INDEX(Aliases!$B$5:$B$80,MATCH(1,INDEX(ISNUMBER(SEARCH(Aliases!$A$5:$A$80,E1458))*(Aliases!$A$5:$A$80&lt;&gt;""),0),0)),"UNMATCHED"))</f>
        <v/>
      </c>
      <c r="M1458" s="16"/>
      <c r="N1458" s="16"/>
    </row>
    <row r="1459" spans="1:14" x14ac:dyDescent="0.3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6"/>
      <c r="L1459" s="15" t="str">
        <f>IF(E1459="","",IFERROR(INDEX(Aliases!$B$5:$B$80,MATCH(1,INDEX(ISNUMBER(SEARCH(Aliases!$A$5:$A$80,E1459))*(Aliases!$A$5:$A$80&lt;&gt;""),0),0)),"UNMATCHED"))</f>
        <v/>
      </c>
      <c r="M1459" s="16"/>
      <c r="N1459" s="16"/>
    </row>
    <row r="1460" spans="1:14" x14ac:dyDescent="0.3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6"/>
      <c r="L1460" s="15" t="str">
        <f>IF(E1460="","",IFERROR(INDEX(Aliases!$B$5:$B$80,MATCH(1,INDEX(ISNUMBER(SEARCH(Aliases!$A$5:$A$80,E1460))*(Aliases!$A$5:$A$80&lt;&gt;""),0),0)),"UNMATCHED"))</f>
        <v/>
      </c>
      <c r="M1460" s="16"/>
      <c r="N1460" s="16"/>
    </row>
    <row r="1461" spans="1:14" x14ac:dyDescent="0.3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6"/>
      <c r="L1461" s="15" t="str">
        <f>IF(E1461="","",IFERROR(INDEX(Aliases!$B$5:$B$80,MATCH(1,INDEX(ISNUMBER(SEARCH(Aliases!$A$5:$A$80,E1461))*(Aliases!$A$5:$A$80&lt;&gt;""),0),0)),"UNMATCHED"))</f>
        <v/>
      </c>
      <c r="M1461" s="16"/>
      <c r="N1461" s="16"/>
    </row>
    <row r="1462" spans="1:14" x14ac:dyDescent="0.3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6"/>
      <c r="L1462" s="15" t="str">
        <f>IF(E1462="","",IFERROR(INDEX(Aliases!$B$5:$B$80,MATCH(1,INDEX(ISNUMBER(SEARCH(Aliases!$A$5:$A$80,E1462))*(Aliases!$A$5:$A$80&lt;&gt;""),0),0)),"UNMATCHED"))</f>
        <v/>
      </c>
      <c r="M1462" s="16"/>
      <c r="N1462" s="16"/>
    </row>
    <row r="1463" spans="1:14" x14ac:dyDescent="0.3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6"/>
      <c r="L1463" s="15" t="str">
        <f>IF(E1463="","",IFERROR(INDEX(Aliases!$B$5:$B$80,MATCH(1,INDEX(ISNUMBER(SEARCH(Aliases!$A$5:$A$80,E1463))*(Aliases!$A$5:$A$80&lt;&gt;""),0),0)),"UNMATCHED"))</f>
        <v/>
      </c>
      <c r="M1463" s="16"/>
      <c r="N1463" s="16"/>
    </row>
    <row r="1464" spans="1:14" x14ac:dyDescent="0.3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6"/>
      <c r="L1464" s="15" t="str">
        <f>IF(E1464="","",IFERROR(INDEX(Aliases!$B$5:$B$80,MATCH(1,INDEX(ISNUMBER(SEARCH(Aliases!$A$5:$A$80,E1464))*(Aliases!$A$5:$A$80&lt;&gt;""),0),0)),"UNMATCHED"))</f>
        <v/>
      </c>
      <c r="M1464" s="16"/>
      <c r="N1464" s="16"/>
    </row>
    <row r="1465" spans="1:14" x14ac:dyDescent="0.3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6"/>
      <c r="L1465" s="15" t="str">
        <f>IF(E1465="","",IFERROR(INDEX(Aliases!$B$5:$B$80,MATCH(1,INDEX(ISNUMBER(SEARCH(Aliases!$A$5:$A$80,E1465))*(Aliases!$A$5:$A$80&lt;&gt;""),0),0)),"UNMATCHED"))</f>
        <v/>
      </c>
      <c r="M1465" s="16"/>
      <c r="N1465" s="16"/>
    </row>
    <row r="1466" spans="1:14" x14ac:dyDescent="0.3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6"/>
      <c r="L1466" s="15" t="str">
        <f>IF(E1466="","",IFERROR(INDEX(Aliases!$B$5:$B$80,MATCH(1,INDEX(ISNUMBER(SEARCH(Aliases!$A$5:$A$80,E1466))*(Aliases!$A$5:$A$80&lt;&gt;""),0),0)),"UNMATCHED"))</f>
        <v/>
      </c>
      <c r="M1466" s="16"/>
      <c r="N1466" s="16"/>
    </row>
    <row r="1467" spans="1:14" x14ac:dyDescent="0.3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6"/>
      <c r="L1467" s="15" t="str">
        <f>IF(E1467="","",IFERROR(INDEX(Aliases!$B$5:$B$80,MATCH(1,INDEX(ISNUMBER(SEARCH(Aliases!$A$5:$A$80,E1467))*(Aliases!$A$5:$A$80&lt;&gt;""),0),0)),"UNMATCHED"))</f>
        <v/>
      </c>
      <c r="M1467" s="16"/>
      <c r="N1467" s="16"/>
    </row>
    <row r="1468" spans="1:14" x14ac:dyDescent="0.3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6"/>
      <c r="L1468" s="15" t="str">
        <f>IF(E1468="","",IFERROR(INDEX(Aliases!$B$5:$B$80,MATCH(1,INDEX(ISNUMBER(SEARCH(Aliases!$A$5:$A$80,E1468))*(Aliases!$A$5:$A$80&lt;&gt;""),0),0)),"UNMATCHED"))</f>
        <v/>
      </c>
      <c r="M1468" s="16"/>
      <c r="N1468" s="16"/>
    </row>
    <row r="1469" spans="1:14" x14ac:dyDescent="0.3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6"/>
      <c r="L1469" s="15" t="str">
        <f>IF(E1469="","",IFERROR(INDEX(Aliases!$B$5:$B$80,MATCH(1,INDEX(ISNUMBER(SEARCH(Aliases!$A$5:$A$80,E1469))*(Aliases!$A$5:$A$80&lt;&gt;""),0),0)),"UNMATCHED"))</f>
        <v/>
      </c>
      <c r="M1469" s="16"/>
      <c r="N1469" s="16"/>
    </row>
    <row r="1470" spans="1:14" x14ac:dyDescent="0.3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6"/>
      <c r="L1470" s="15" t="str">
        <f>IF(E1470="","",IFERROR(INDEX(Aliases!$B$5:$B$80,MATCH(1,INDEX(ISNUMBER(SEARCH(Aliases!$A$5:$A$80,E1470))*(Aliases!$A$5:$A$80&lt;&gt;""),0),0)),"UNMATCHED"))</f>
        <v/>
      </c>
      <c r="M1470" s="16"/>
      <c r="N1470" s="16"/>
    </row>
    <row r="1471" spans="1:14" x14ac:dyDescent="0.3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6"/>
      <c r="L1471" s="15" t="str">
        <f>IF(E1471="","",IFERROR(INDEX(Aliases!$B$5:$B$80,MATCH(1,INDEX(ISNUMBER(SEARCH(Aliases!$A$5:$A$80,E1471))*(Aliases!$A$5:$A$80&lt;&gt;""),0),0)),"UNMATCHED"))</f>
        <v/>
      </c>
      <c r="M1471" s="16"/>
      <c r="N1471" s="16"/>
    </row>
    <row r="1472" spans="1:14" x14ac:dyDescent="0.3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6"/>
      <c r="L1472" s="15" t="str">
        <f>IF(E1472="","",IFERROR(INDEX(Aliases!$B$5:$B$80,MATCH(1,INDEX(ISNUMBER(SEARCH(Aliases!$A$5:$A$80,E1472))*(Aliases!$A$5:$A$80&lt;&gt;""),0),0)),"UNMATCHED"))</f>
        <v/>
      </c>
      <c r="M1472" s="16"/>
      <c r="N1472" s="16"/>
    </row>
    <row r="1473" spans="1:14" x14ac:dyDescent="0.3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6"/>
      <c r="L1473" s="15" t="str">
        <f>IF(E1473="","",IFERROR(INDEX(Aliases!$B$5:$B$80,MATCH(1,INDEX(ISNUMBER(SEARCH(Aliases!$A$5:$A$80,E1473))*(Aliases!$A$5:$A$80&lt;&gt;""),0),0)),"UNMATCHED"))</f>
        <v/>
      </c>
      <c r="M1473" s="16"/>
      <c r="N1473" s="16"/>
    </row>
    <row r="1474" spans="1:14" x14ac:dyDescent="0.3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6"/>
      <c r="L1474" s="15" t="str">
        <f>IF(E1474="","",IFERROR(INDEX(Aliases!$B$5:$B$80,MATCH(1,INDEX(ISNUMBER(SEARCH(Aliases!$A$5:$A$80,E1474))*(Aliases!$A$5:$A$80&lt;&gt;""),0),0)),"UNMATCHED"))</f>
        <v/>
      </c>
      <c r="M1474" s="16"/>
      <c r="N1474" s="16"/>
    </row>
    <row r="1475" spans="1:14" x14ac:dyDescent="0.3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6"/>
      <c r="L1475" s="15" t="str">
        <f>IF(E1475="","",IFERROR(INDEX(Aliases!$B$5:$B$80,MATCH(1,INDEX(ISNUMBER(SEARCH(Aliases!$A$5:$A$80,E1475))*(Aliases!$A$5:$A$80&lt;&gt;""),0),0)),"UNMATCHED"))</f>
        <v/>
      </c>
      <c r="M1475" s="16"/>
      <c r="N1475" s="16"/>
    </row>
    <row r="1476" spans="1:14" x14ac:dyDescent="0.3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6"/>
      <c r="L1476" s="15" t="str">
        <f>IF(E1476="","",IFERROR(INDEX(Aliases!$B$5:$B$80,MATCH(1,INDEX(ISNUMBER(SEARCH(Aliases!$A$5:$A$80,E1476))*(Aliases!$A$5:$A$80&lt;&gt;""),0),0)),"UNMATCHED"))</f>
        <v/>
      </c>
      <c r="M1476" s="16"/>
      <c r="N1476" s="16"/>
    </row>
    <row r="1477" spans="1:14" x14ac:dyDescent="0.3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6"/>
      <c r="L1477" s="15" t="str">
        <f>IF(E1477="","",IFERROR(INDEX(Aliases!$B$5:$B$80,MATCH(1,INDEX(ISNUMBER(SEARCH(Aliases!$A$5:$A$80,E1477))*(Aliases!$A$5:$A$80&lt;&gt;""),0),0)),"UNMATCHED"))</f>
        <v/>
      </c>
      <c r="M1477" s="16"/>
      <c r="N1477" s="16"/>
    </row>
    <row r="1478" spans="1:14" x14ac:dyDescent="0.3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6"/>
      <c r="L1478" s="15" t="str">
        <f>IF(E1478="","",IFERROR(INDEX(Aliases!$B$5:$B$80,MATCH(1,INDEX(ISNUMBER(SEARCH(Aliases!$A$5:$A$80,E1478))*(Aliases!$A$5:$A$80&lt;&gt;""),0),0)),"UNMATCHED"))</f>
        <v/>
      </c>
      <c r="M1478" s="16"/>
      <c r="N1478" s="16"/>
    </row>
    <row r="1479" spans="1:14" x14ac:dyDescent="0.3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6"/>
      <c r="L1479" s="15" t="str">
        <f>IF(E1479="","",IFERROR(INDEX(Aliases!$B$5:$B$80,MATCH(1,INDEX(ISNUMBER(SEARCH(Aliases!$A$5:$A$80,E1479))*(Aliases!$A$5:$A$80&lt;&gt;""),0),0)),"UNMATCHED"))</f>
        <v/>
      </c>
      <c r="M1479" s="16"/>
      <c r="N1479" s="16"/>
    </row>
    <row r="1480" spans="1:14" x14ac:dyDescent="0.3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6"/>
      <c r="L1480" s="15" t="str">
        <f>IF(E1480="","",IFERROR(INDEX(Aliases!$B$5:$B$80,MATCH(1,INDEX(ISNUMBER(SEARCH(Aliases!$A$5:$A$80,E1480))*(Aliases!$A$5:$A$80&lt;&gt;""),0),0)),"UNMATCHED"))</f>
        <v/>
      </c>
      <c r="M1480" s="16"/>
      <c r="N1480" s="16"/>
    </row>
    <row r="1481" spans="1:14" x14ac:dyDescent="0.3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6"/>
      <c r="L1481" s="15" t="str">
        <f>IF(E1481="","",IFERROR(INDEX(Aliases!$B$5:$B$80,MATCH(1,INDEX(ISNUMBER(SEARCH(Aliases!$A$5:$A$80,E1481))*(Aliases!$A$5:$A$80&lt;&gt;""),0),0)),"UNMATCHED"))</f>
        <v/>
      </c>
      <c r="M1481" s="16"/>
      <c r="N1481" s="16"/>
    </row>
    <row r="1482" spans="1:14" x14ac:dyDescent="0.3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6"/>
      <c r="L1482" s="15" t="str">
        <f>IF(E1482="","",IFERROR(INDEX(Aliases!$B$5:$B$80,MATCH(1,INDEX(ISNUMBER(SEARCH(Aliases!$A$5:$A$80,E1482))*(Aliases!$A$5:$A$80&lt;&gt;""),0),0)),"UNMATCHED"))</f>
        <v/>
      </c>
      <c r="M1482" s="16"/>
      <c r="N1482" s="16"/>
    </row>
    <row r="1483" spans="1:14" x14ac:dyDescent="0.3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6"/>
      <c r="L1483" s="15" t="str">
        <f>IF(E1483="","",IFERROR(INDEX(Aliases!$B$5:$B$80,MATCH(1,INDEX(ISNUMBER(SEARCH(Aliases!$A$5:$A$80,E1483))*(Aliases!$A$5:$A$80&lt;&gt;""),0),0)),"UNMATCHED"))</f>
        <v/>
      </c>
      <c r="M1483" s="16"/>
      <c r="N1483" s="16"/>
    </row>
    <row r="1484" spans="1:14" x14ac:dyDescent="0.3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6"/>
      <c r="L1484" s="15" t="str">
        <f>IF(E1484="","",IFERROR(INDEX(Aliases!$B$5:$B$80,MATCH(1,INDEX(ISNUMBER(SEARCH(Aliases!$A$5:$A$80,E1484))*(Aliases!$A$5:$A$80&lt;&gt;""),0),0)),"UNMATCHED"))</f>
        <v/>
      </c>
      <c r="M1484" s="16"/>
      <c r="N1484" s="16"/>
    </row>
    <row r="1485" spans="1:14" x14ac:dyDescent="0.3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6"/>
      <c r="L1485" s="15" t="str">
        <f>IF(E1485="","",IFERROR(INDEX(Aliases!$B$5:$B$80,MATCH(1,INDEX(ISNUMBER(SEARCH(Aliases!$A$5:$A$80,E1485))*(Aliases!$A$5:$A$80&lt;&gt;""),0),0)),"UNMATCHED"))</f>
        <v/>
      </c>
      <c r="M1485" s="16"/>
      <c r="N1485" s="16"/>
    </row>
    <row r="1486" spans="1:14" x14ac:dyDescent="0.3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6"/>
      <c r="L1486" s="15" t="str">
        <f>IF(E1486="","",IFERROR(INDEX(Aliases!$B$5:$B$80,MATCH(1,INDEX(ISNUMBER(SEARCH(Aliases!$A$5:$A$80,E1486))*(Aliases!$A$5:$A$80&lt;&gt;""),0),0)),"UNMATCHED"))</f>
        <v/>
      </c>
      <c r="M1486" s="16"/>
      <c r="N1486" s="16"/>
    </row>
    <row r="1487" spans="1:14" x14ac:dyDescent="0.3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6"/>
      <c r="L1487" s="15" t="str">
        <f>IF(E1487="","",IFERROR(INDEX(Aliases!$B$5:$B$80,MATCH(1,INDEX(ISNUMBER(SEARCH(Aliases!$A$5:$A$80,E1487))*(Aliases!$A$5:$A$80&lt;&gt;""),0),0)),"UNMATCHED"))</f>
        <v/>
      </c>
      <c r="M1487" s="16"/>
      <c r="N1487" s="16"/>
    </row>
    <row r="1488" spans="1:14" x14ac:dyDescent="0.3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6"/>
      <c r="L1488" s="15" t="str">
        <f>IF(E1488="","",IFERROR(INDEX(Aliases!$B$5:$B$80,MATCH(1,INDEX(ISNUMBER(SEARCH(Aliases!$A$5:$A$80,E1488))*(Aliases!$A$5:$A$80&lt;&gt;""),0),0)),"UNMATCHED"))</f>
        <v/>
      </c>
      <c r="M1488" s="16"/>
      <c r="N1488" s="16"/>
    </row>
    <row r="1489" spans="1:14" x14ac:dyDescent="0.3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6"/>
      <c r="L1489" s="15" t="str">
        <f>IF(E1489="","",IFERROR(INDEX(Aliases!$B$5:$B$80,MATCH(1,INDEX(ISNUMBER(SEARCH(Aliases!$A$5:$A$80,E1489))*(Aliases!$A$5:$A$80&lt;&gt;""),0),0)),"UNMATCHED"))</f>
        <v/>
      </c>
      <c r="M1489" s="16"/>
      <c r="N1489" s="16"/>
    </row>
    <row r="1490" spans="1:14" x14ac:dyDescent="0.3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6"/>
      <c r="L1490" s="15" t="str">
        <f>IF(E1490="","",IFERROR(INDEX(Aliases!$B$5:$B$80,MATCH(1,INDEX(ISNUMBER(SEARCH(Aliases!$A$5:$A$80,E1490))*(Aliases!$A$5:$A$80&lt;&gt;""),0),0)),"UNMATCHED"))</f>
        <v/>
      </c>
      <c r="M1490" s="16"/>
      <c r="N1490" s="16"/>
    </row>
    <row r="1491" spans="1:14" x14ac:dyDescent="0.3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6"/>
      <c r="L1491" s="15" t="str">
        <f>IF(E1491="","",IFERROR(INDEX(Aliases!$B$5:$B$80,MATCH(1,INDEX(ISNUMBER(SEARCH(Aliases!$A$5:$A$80,E1491))*(Aliases!$A$5:$A$80&lt;&gt;""),0),0)),"UNMATCHED"))</f>
        <v/>
      </c>
      <c r="M1491" s="16"/>
      <c r="N1491" s="16"/>
    </row>
    <row r="1492" spans="1:14" x14ac:dyDescent="0.3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6"/>
      <c r="L1492" s="15" t="str">
        <f>IF(E1492="","",IFERROR(INDEX(Aliases!$B$5:$B$80,MATCH(1,INDEX(ISNUMBER(SEARCH(Aliases!$A$5:$A$80,E1492))*(Aliases!$A$5:$A$80&lt;&gt;""),0),0)),"UNMATCHED"))</f>
        <v/>
      </c>
      <c r="M1492" s="16"/>
      <c r="N1492" s="16"/>
    </row>
    <row r="1493" spans="1:14" x14ac:dyDescent="0.3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6"/>
      <c r="L1493" s="15" t="str">
        <f>IF(E1493="","",IFERROR(INDEX(Aliases!$B$5:$B$80,MATCH(1,INDEX(ISNUMBER(SEARCH(Aliases!$A$5:$A$80,E1493))*(Aliases!$A$5:$A$80&lt;&gt;""),0),0)),"UNMATCHED"))</f>
        <v/>
      </c>
      <c r="M1493" s="16"/>
      <c r="N1493" s="16"/>
    </row>
    <row r="1494" spans="1:14" x14ac:dyDescent="0.3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6"/>
      <c r="L1494" s="15" t="str">
        <f>IF(E1494="","",IFERROR(INDEX(Aliases!$B$5:$B$80,MATCH(1,INDEX(ISNUMBER(SEARCH(Aliases!$A$5:$A$80,E1494))*(Aliases!$A$5:$A$80&lt;&gt;""),0),0)),"UNMATCHED"))</f>
        <v/>
      </c>
      <c r="M1494" s="16"/>
      <c r="N1494" s="16"/>
    </row>
    <row r="1495" spans="1:14" x14ac:dyDescent="0.3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6"/>
      <c r="L1495" s="15" t="str">
        <f>IF(E1495="","",IFERROR(INDEX(Aliases!$B$5:$B$80,MATCH(1,INDEX(ISNUMBER(SEARCH(Aliases!$A$5:$A$80,E1495))*(Aliases!$A$5:$A$80&lt;&gt;""),0),0)),"UNMATCHED"))</f>
        <v/>
      </c>
      <c r="M1495" s="16"/>
      <c r="N1495" s="16"/>
    </row>
    <row r="1496" spans="1:14" x14ac:dyDescent="0.3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6"/>
      <c r="L1496" s="15" t="str">
        <f>IF(E1496="","",IFERROR(INDEX(Aliases!$B$5:$B$80,MATCH(1,INDEX(ISNUMBER(SEARCH(Aliases!$A$5:$A$80,E1496))*(Aliases!$A$5:$A$80&lt;&gt;""),0),0)),"UNMATCHED"))</f>
        <v/>
      </c>
      <c r="M1496" s="16"/>
      <c r="N1496" s="16"/>
    </row>
    <row r="1497" spans="1:14" x14ac:dyDescent="0.3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6"/>
      <c r="L1497" s="15" t="str">
        <f>IF(E1497="","",IFERROR(INDEX(Aliases!$B$5:$B$80,MATCH(1,INDEX(ISNUMBER(SEARCH(Aliases!$A$5:$A$80,E1497))*(Aliases!$A$5:$A$80&lt;&gt;""),0),0)),"UNMATCHED"))</f>
        <v/>
      </c>
      <c r="M1497" s="16"/>
      <c r="N1497" s="16"/>
    </row>
    <row r="1498" spans="1:14" x14ac:dyDescent="0.3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6"/>
      <c r="L1498" s="15" t="str">
        <f>IF(E1498="","",IFERROR(INDEX(Aliases!$B$5:$B$80,MATCH(1,INDEX(ISNUMBER(SEARCH(Aliases!$A$5:$A$80,E1498))*(Aliases!$A$5:$A$80&lt;&gt;""),0),0)),"UNMATCHED"))</f>
        <v/>
      </c>
      <c r="M1498" s="16"/>
      <c r="N1498" s="16"/>
    </row>
    <row r="1499" spans="1:14" x14ac:dyDescent="0.3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6"/>
      <c r="L1499" s="15" t="str">
        <f>IF(E1499="","",IFERROR(INDEX(Aliases!$B$5:$B$80,MATCH(1,INDEX(ISNUMBER(SEARCH(Aliases!$A$5:$A$80,E1499))*(Aliases!$A$5:$A$80&lt;&gt;""),0),0)),"UNMATCHED"))</f>
        <v/>
      </c>
      <c r="M1499" s="16"/>
      <c r="N1499" s="16"/>
    </row>
    <row r="1500" spans="1:14" x14ac:dyDescent="0.3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6"/>
      <c r="L1500" s="15" t="str">
        <f>IF(E1500="","",IFERROR(INDEX(Aliases!$B$5:$B$80,MATCH(1,INDEX(ISNUMBER(SEARCH(Aliases!$A$5:$A$80,E1500))*(Aliases!$A$5:$A$80&lt;&gt;""),0),0)),"UNMATCHED"))</f>
        <v/>
      </c>
      <c r="M1500" s="16"/>
      <c r="N1500" s="16"/>
    </row>
    <row r="1501" spans="1:14" x14ac:dyDescent="0.3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6"/>
      <c r="L1501" s="15" t="str">
        <f>IF(E1501="","",IFERROR(INDEX(Aliases!$B$5:$B$80,MATCH(1,INDEX(ISNUMBER(SEARCH(Aliases!$A$5:$A$80,E1501))*(Aliases!$A$5:$A$80&lt;&gt;""),0),0)),"UNMATCHED"))</f>
        <v/>
      </c>
      <c r="M1501" s="16"/>
      <c r="N1501" s="16"/>
    </row>
    <row r="1502" spans="1:14" x14ac:dyDescent="0.3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6"/>
      <c r="L1502" s="15" t="str">
        <f>IF(E1502="","",IFERROR(INDEX(Aliases!$B$5:$B$80,MATCH(1,INDEX(ISNUMBER(SEARCH(Aliases!$A$5:$A$80,E1502))*(Aliases!$A$5:$A$80&lt;&gt;""),0),0)),"UNMATCHED"))</f>
        <v/>
      </c>
      <c r="M1502" s="16"/>
      <c r="N1502" s="16"/>
    </row>
    <row r="1503" spans="1:14" x14ac:dyDescent="0.3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6"/>
      <c r="L1503" s="15" t="str">
        <f>IF(E1503="","",IFERROR(INDEX(Aliases!$B$5:$B$80,MATCH(1,INDEX(ISNUMBER(SEARCH(Aliases!$A$5:$A$80,E1503))*(Aliases!$A$5:$A$80&lt;&gt;""),0),0)),"UNMATCHED"))</f>
        <v/>
      </c>
      <c r="M1503" s="16"/>
      <c r="N1503" s="16"/>
    </row>
    <row r="1504" spans="1:14" x14ac:dyDescent="0.3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6"/>
      <c r="L1504" s="15" t="str">
        <f>IF(E1504="","",IFERROR(INDEX(Aliases!$B$5:$B$80,MATCH(1,INDEX(ISNUMBER(SEARCH(Aliases!$A$5:$A$80,E1504))*(Aliases!$A$5:$A$80&lt;&gt;""),0),0)),"UNMATCHED"))</f>
        <v/>
      </c>
      <c r="M1504" s="16"/>
      <c r="N1504" s="16"/>
    </row>
    <row r="1505" spans="1:14" x14ac:dyDescent="0.3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6"/>
      <c r="L1505" s="15" t="str">
        <f>IF(E1505="","",IFERROR(INDEX(Aliases!$B$5:$B$80,MATCH(1,INDEX(ISNUMBER(SEARCH(Aliases!$A$5:$A$80,E1505))*(Aliases!$A$5:$A$80&lt;&gt;""),0),0)),"UNMATCHED"))</f>
        <v/>
      </c>
      <c r="M1505" s="16"/>
      <c r="N1505" s="16"/>
    </row>
    <row r="1506" spans="1:14" x14ac:dyDescent="0.3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6"/>
      <c r="L1506" s="15" t="str">
        <f>IF(E1506="","",IFERROR(INDEX(Aliases!$B$5:$B$80,MATCH(1,INDEX(ISNUMBER(SEARCH(Aliases!$A$5:$A$80,E1506))*(Aliases!$A$5:$A$80&lt;&gt;""),0),0)),"UNMATCHED"))</f>
        <v/>
      </c>
      <c r="M1506" s="16"/>
      <c r="N1506" s="16"/>
    </row>
    <row r="1507" spans="1:14" x14ac:dyDescent="0.3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6"/>
      <c r="L1507" s="15" t="str">
        <f>IF(E1507="","",IFERROR(INDEX(Aliases!$B$5:$B$80,MATCH(1,INDEX(ISNUMBER(SEARCH(Aliases!$A$5:$A$80,E1507))*(Aliases!$A$5:$A$80&lt;&gt;""),0),0)),"UNMATCHED"))</f>
        <v/>
      </c>
      <c r="M1507" s="16"/>
      <c r="N1507" s="16"/>
    </row>
    <row r="1508" spans="1:14" x14ac:dyDescent="0.3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6"/>
      <c r="L1508" s="15" t="str">
        <f>IF(E1508="","",IFERROR(INDEX(Aliases!$B$5:$B$80,MATCH(1,INDEX(ISNUMBER(SEARCH(Aliases!$A$5:$A$80,E1508))*(Aliases!$A$5:$A$80&lt;&gt;""),0),0)),"UNMATCHED"))</f>
        <v/>
      </c>
      <c r="M1508" s="16"/>
      <c r="N1508" s="16"/>
    </row>
    <row r="1509" spans="1:14" x14ac:dyDescent="0.3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6"/>
      <c r="L1509" s="15" t="str">
        <f>IF(E1509="","",IFERROR(INDEX(Aliases!$B$5:$B$80,MATCH(1,INDEX(ISNUMBER(SEARCH(Aliases!$A$5:$A$80,E1509))*(Aliases!$A$5:$A$80&lt;&gt;""),0),0)),"UNMATCHED"))</f>
        <v/>
      </c>
      <c r="M1509" s="16"/>
      <c r="N1509" s="16"/>
    </row>
    <row r="1510" spans="1:14" x14ac:dyDescent="0.3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6"/>
      <c r="L1510" s="15" t="str">
        <f>IF(E1510="","",IFERROR(INDEX(Aliases!$B$5:$B$80,MATCH(1,INDEX(ISNUMBER(SEARCH(Aliases!$A$5:$A$80,E1510))*(Aliases!$A$5:$A$80&lt;&gt;""),0),0)),"UNMATCHED"))</f>
        <v/>
      </c>
      <c r="M1510" s="16"/>
      <c r="N1510" s="16"/>
    </row>
    <row r="1511" spans="1:14" x14ac:dyDescent="0.3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6"/>
      <c r="L1511" s="15" t="str">
        <f>IF(E1511="","",IFERROR(INDEX(Aliases!$B$5:$B$80,MATCH(1,INDEX(ISNUMBER(SEARCH(Aliases!$A$5:$A$80,E1511))*(Aliases!$A$5:$A$80&lt;&gt;""),0),0)),"UNMATCHED"))</f>
        <v/>
      </c>
      <c r="M1511" s="16"/>
      <c r="N1511" s="16"/>
    </row>
    <row r="1512" spans="1:14" x14ac:dyDescent="0.3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6"/>
      <c r="L1512" s="15" t="str">
        <f>IF(E1512="","",IFERROR(INDEX(Aliases!$B$5:$B$80,MATCH(1,INDEX(ISNUMBER(SEARCH(Aliases!$A$5:$A$80,E1512))*(Aliases!$A$5:$A$80&lt;&gt;""),0),0)),"UNMATCHED"))</f>
        <v/>
      </c>
      <c r="M1512" s="16"/>
      <c r="N1512" s="16"/>
    </row>
    <row r="1513" spans="1:14" x14ac:dyDescent="0.3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6"/>
      <c r="L1513" s="15" t="str">
        <f>IF(E1513="","",IFERROR(INDEX(Aliases!$B$5:$B$80,MATCH(1,INDEX(ISNUMBER(SEARCH(Aliases!$A$5:$A$80,E1513))*(Aliases!$A$5:$A$80&lt;&gt;""),0),0)),"UNMATCHED"))</f>
        <v/>
      </c>
      <c r="M1513" s="16"/>
      <c r="N1513" s="16"/>
    </row>
    <row r="1514" spans="1:14" x14ac:dyDescent="0.3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6"/>
      <c r="L1514" s="15" t="str">
        <f>IF(E1514="","",IFERROR(INDEX(Aliases!$B$5:$B$80,MATCH(1,INDEX(ISNUMBER(SEARCH(Aliases!$A$5:$A$80,E1514))*(Aliases!$A$5:$A$80&lt;&gt;""),0),0)),"UNMATCHED"))</f>
        <v/>
      </c>
      <c r="M1514" s="16"/>
      <c r="N1514" s="16"/>
    </row>
    <row r="1515" spans="1:14" x14ac:dyDescent="0.3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6"/>
      <c r="L1515" s="15" t="str">
        <f>IF(E1515="","",IFERROR(INDEX(Aliases!$B$5:$B$80,MATCH(1,INDEX(ISNUMBER(SEARCH(Aliases!$A$5:$A$80,E1515))*(Aliases!$A$5:$A$80&lt;&gt;""),0),0)),"UNMATCHED"))</f>
        <v/>
      </c>
      <c r="M1515" s="16"/>
      <c r="N1515" s="16"/>
    </row>
    <row r="1516" spans="1:14" x14ac:dyDescent="0.3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6"/>
      <c r="L1516" s="15" t="str">
        <f>IF(E1516="","",IFERROR(INDEX(Aliases!$B$5:$B$80,MATCH(1,INDEX(ISNUMBER(SEARCH(Aliases!$A$5:$A$80,E1516))*(Aliases!$A$5:$A$80&lt;&gt;""),0),0)),"UNMATCHED"))</f>
        <v/>
      </c>
      <c r="M1516" s="16"/>
      <c r="N1516" s="16"/>
    </row>
    <row r="1517" spans="1:14" x14ac:dyDescent="0.3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6"/>
      <c r="L1517" s="15" t="str">
        <f>IF(E1517="","",IFERROR(INDEX(Aliases!$B$5:$B$80,MATCH(1,INDEX(ISNUMBER(SEARCH(Aliases!$A$5:$A$80,E1517))*(Aliases!$A$5:$A$80&lt;&gt;""),0),0)),"UNMATCHED"))</f>
        <v/>
      </c>
      <c r="M1517" s="16"/>
      <c r="N1517" s="16"/>
    </row>
    <row r="1518" spans="1:14" x14ac:dyDescent="0.3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6"/>
      <c r="L1518" s="15" t="str">
        <f>IF(E1518="","",IFERROR(INDEX(Aliases!$B$5:$B$80,MATCH(1,INDEX(ISNUMBER(SEARCH(Aliases!$A$5:$A$80,E1518))*(Aliases!$A$5:$A$80&lt;&gt;""),0),0)),"UNMATCHED"))</f>
        <v/>
      </c>
      <c r="M1518" s="16"/>
      <c r="N1518" s="16"/>
    </row>
    <row r="1519" spans="1:14" x14ac:dyDescent="0.3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6"/>
      <c r="L1519" s="15" t="str">
        <f>IF(E1519="","",IFERROR(INDEX(Aliases!$B$5:$B$80,MATCH(1,INDEX(ISNUMBER(SEARCH(Aliases!$A$5:$A$80,E1519))*(Aliases!$A$5:$A$80&lt;&gt;""),0),0)),"UNMATCHED"))</f>
        <v/>
      </c>
      <c r="M1519" s="16"/>
      <c r="N1519" s="16"/>
    </row>
    <row r="1520" spans="1:14" x14ac:dyDescent="0.3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6"/>
      <c r="L1520" s="15" t="str">
        <f>IF(E1520="","",IFERROR(INDEX(Aliases!$B$5:$B$80,MATCH(1,INDEX(ISNUMBER(SEARCH(Aliases!$A$5:$A$80,E1520))*(Aliases!$A$5:$A$80&lt;&gt;""),0),0)),"UNMATCHED"))</f>
        <v/>
      </c>
      <c r="M1520" s="16"/>
      <c r="N1520" s="16"/>
    </row>
    <row r="1521" spans="1:14" x14ac:dyDescent="0.3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6"/>
      <c r="L1521" s="15" t="str">
        <f>IF(E1521="","",IFERROR(INDEX(Aliases!$B$5:$B$80,MATCH(1,INDEX(ISNUMBER(SEARCH(Aliases!$A$5:$A$80,E1521))*(Aliases!$A$5:$A$80&lt;&gt;""),0),0)),"UNMATCHED"))</f>
        <v/>
      </c>
      <c r="M1521" s="16"/>
      <c r="N1521" s="16"/>
    </row>
    <row r="1522" spans="1:14" x14ac:dyDescent="0.3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6"/>
      <c r="L1522" s="15" t="str">
        <f>IF(E1522="","",IFERROR(INDEX(Aliases!$B$5:$B$80,MATCH(1,INDEX(ISNUMBER(SEARCH(Aliases!$A$5:$A$80,E1522))*(Aliases!$A$5:$A$80&lt;&gt;""),0),0)),"UNMATCHED"))</f>
        <v/>
      </c>
      <c r="M1522" s="16"/>
      <c r="N1522" s="16"/>
    </row>
    <row r="1523" spans="1:14" x14ac:dyDescent="0.3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6"/>
      <c r="L1523" s="15" t="str">
        <f>IF(E1523="","",IFERROR(INDEX(Aliases!$B$5:$B$80,MATCH(1,INDEX(ISNUMBER(SEARCH(Aliases!$A$5:$A$80,E1523))*(Aliases!$A$5:$A$80&lt;&gt;""),0),0)),"UNMATCHED"))</f>
        <v/>
      </c>
      <c r="M1523" s="16"/>
      <c r="N1523" s="16"/>
    </row>
    <row r="1524" spans="1:14" x14ac:dyDescent="0.3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6"/>
      <c r="L1524" s="15" t="str">
        <f>IF(E1524="","",IFERROR(INDEX(Aliases!$B$5:$B$80,MATCH(1,INDEX(ISNUMBER(SEARCH(Aliases!$A$5:$A$80,E1524))*(Aliases!$A$5:$A$80&lt;&gt;""),0),0)),"UNMATCHED"))</f>
        <v/>
      </c>
      <c r="M1524" s="16"/>
      <c r="N1524" s="16"/>
    </row>
    <row r="1525" spans="1:14" x14ac:dyDescent="0.3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6"/>
      <c r="L1525" s="15" t="str">
        <f>IF(E1525="","",IFERROR(INDEX(Aliases!$B$5:$B$80,MATCH(1,INDEX(ISNUMBER(SEARCH(Aliases!$A$5:$A$80,E1525))*(Aliases!$A$5:$A$80&lt;&gt;""),0),0)),"UNMATCHED"))</f>
        <v/>
      </c>
      <c r="M1525" s="16"/>
      <c r="N1525" s="16"/>
    </row>
    <row r="1526" spans="1:14" x14ac:dyDescent="0.3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6"/>
      <c r="L1526" s="15" t="str">
        <f>IF(E1526="","",IFERROR(INDEX(Aliases!$B$5:$B$80,MATCH(1,INDEX(ISNUMBER(SEARCH(Aliases!$A$5:$A$80,E1526))*(Aliases!$A$5:$A$80&lt;&gt;""),0),0)),"UNMATCHED"))</f>
        <v/>
      </c>
      <c r="M1526" s="16"/>
      <c r="N1526" s="16"/>
    </row>
    <row r="1527" spans="1:14" x14ac:dyDescent="0.3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6"/>
      <c r="L1527" s="15" t="str">
        <f>IF(E1527="","",IFERROR(INDEX(Aliases!$B$5:$B$80,MATCH(1,INDEX(ISNUMBER(SEARCH(Aliases!$A$5:$A$80,E1527))*(Aliases!$A$5:$A$80&lt;&gt;""),0),0)),"UNMATCHED"))</f>
        <v/>
      </c>
      <c r="M1527" s="16"/>
      <c r="N1527" s="16"/>
    </row>
    <row r="1528" spans="1:14" x14ac:dyDescent="0.3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6"/>
      <c r="L1528" s="15" t="str">
        <f>IF(E1528="","",IFERROR(INDEX(Aliases!$B$5:$B$80,MATCH(1,INDEX(ISNUMBER(SEARCH(Aliases!$A$5:$A$80,E1528))*(Aliases!$A$5:$A$80&lt;&gt;""),0),0)),"UNMATCHED"))</f>
        <v/>
      </c>
      <c r="M1528" s="16"/>
      <c r="N1528" s="16"/>
    </row>
    <row r="1529" spans="1:14" x14ac:dyDescent="0.3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6"/>
      <c r="L1529" s="15" t="str">
        <f>IF(E1529="","",IFERROR(INDEX(Aliases!$B$5:$B$80,MATCH(1,INDEX(ISNUMBER(SEARCH(Aliases!$A$5:$A$80,E1529))*(Aliases!$A$5:$A$80&lt;&gt;""),0),0)),"UNMATCHED"))</f>
        <v/>
      </c>
      <c r="M1529" s="16"/>
      <c r="N1529" s="16"/>
    </row>
    <row r="1530" spans="1:14" x14ac:dyDescent="0.3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6"/>
      <c r="L1530" s="15" t="str">
        <f>IF(E1530="","",IFERROR(INDEX(Aliases!$B$5:$B$80,MATCH(1,INDEX(ISNUMBER(SEARCH(Aliases!$A$5:$A$80,E1530))*(Aliases!$A$5:$A$80&lt;&gt;""),0),0)),"UNMATCHED"))</f>
        <v/>
      </c>
      <c r="M1530" s="16"/>
      <c r="N1530" s="16"/>
    </row>
    <row r="1531" spans="1:14" x14ac:dyDescent="0.3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6"/>
      <c r="L1531" s="15" t="str">
        <f>IF(E1531="","",IFERROR(INDEX(Aliases!$B$5:$B$80,MATCH(1,INDEX(ISNUMBER(SEARCH(Aliases!$A$5:$A$80,E1531))*(Aliases!$A$5:$A$80&lt;&gt;""),0),0)),"UNMATCHED"))</f>
        <v/>
      </c>
      <c r="M1531" s="16"/>
      <c r="N1531" s="16"/>
    </row>
    <row r="1532" spans="1:14" x14ac:dyDescent="0.3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6"/>
      <c r="L1532" s="15" t="str">
        <f>IF(E1532="","",IFERROR(INDEX(Aliases!$B$5:$B$80,MATCH(1,INDEX(ISNUMBER(SEARCH(Aliases!$A$5:$A$80,E1532))*(Aliases!$A$5:$A$80&lt;&gt;""),0),0)),"UNMATCHED"))</f>
        <v/>
      </c>
      <c r="M1532" s="16"/>
      <c r="N1532" s="16"/>
    </row>
    <row r="1533" spans="1:14" x14ac:dyDescent="0.3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6"/>
      <c r="L1533" s="15" t="str">
        <f>IF(E1533="","",IFERROR(INDEX(Aliases!$B$5:$B$80,MATCH(1,INDEX(ISNUMBER(SEARCH(Aliases!$A$5:$A$80,E1533))*(Aliases!$A$5:$A$80&lt;&gt;""),0),0)),"UNMATCHED"))</f>
        <v/>
      </c>
      <c r="M1533" s="16"/>
      <c r="N1533" s="16"/>
    </row>
    <row r="1534" spans="1:14" x14ac:dyDescent="0.3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6"/>
      <c r="L1534" s="15" t="str">
        <f>IF(E1534="","",IFERROR(INDEX(Aliases!$B$5:$B$80,MATCH(1,INDEX(ISNUMBER(SEARCH(Aliases!$A$5:$A$80,E1534))*(Aliases!$A$5:$A$80&lt;&gt;""),0),0)),"UNMATCHED"))</f>
        <v/>
      </c>
      <c r="M1534" s="16"/>
      <c r="N1534" s="16"/>
    </row>
    <row r="1535" spans="1:14" x14ac:dyDescent="0.3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6"/>
      <c r="L1535" s="15" t="str">
        <f>IF(E1535="","",IFERROR(INDEX(Aliases!$B$5:$B$80,MATCH(1,INDEX(ISNUMBER(SEARCH(Aliases!$A$5:$A$80,E1535))*(Aliases!$A$5:$A$80&lt;&gt;""),0),0)),"UNMATCHED"))</f>
        <v/>
      </c>
      <c r="M1535" s="16"/>
      <c r="N1535" s="16"/>
    </row>
    <row r="1536" spans="1:14" x14ac:dyDescent="0.3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6"/>
      <c r="L1536" s="15" t="str">
        <f>IF(E1536="","",IFERROR(INDEX(Aliases!$B$5:$B$80,MATCH(1,INDEX(ISNUMBER(SEARCH(Aliases!$A$5:$A$80,E1536))*(Aliases!$A$5:$A$80&lt;&gt;""),0),0)),"UNMATCHED"))</f>
        <v/>
      </c>
      <c r="M1536" s="16"/>
      <c r="N1536" s="16"/>
    </row>
    <row r="1537" spans="1:14" x14ac:dyDescent="0.3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6"/>
      <c r="L1537" s="15" t="str">
        <f>IF(E1537="","",IFERROR(INDEX(Aliases!$B$5:$B$80,MATCH(1,INDEX(ISNUMBER(SEARCH(Aliases!$A$5:$A$80,E1537))*(Aliases!$A$5:$A$80&lt;&gt;""),0),0)),"UNMATCHED"))</f>
        <v/>
      </c>
      <c r="M1537" s="16"/>
      <c r="N1537" s="16"/>
    </row>
    <row r="1538" spans="1:14" x14ac:dyDescent="0.3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6"/>
      <c r="L1538" s="15" t="str">
        <f>IF(E1538="","",IFERROR(INDEX(Aliases!$B$5:$B$80,MATCH(1,INDEX(ISNUMBER(SEARCH(Aliases!$A$5:$A$80,E1538))*(Aliases!$A$5:$A$80&lt;&gt;""),0),0)),"UNMATCHED"))</f>
        <v/>
      </c>
      <c r="M1538" s="16"/>
      <c r="N1538" s="16"/>
    </row>
    <row r="1539" spans="1:14" x14ac:dyDescent="0.3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6"/>
      <c r="L1539" s="15" t="str">
        <f>IF(E1539="","",IFERROR(INDEX(Aliases!$B$5:$B$80,MATCH(1,INDEX(ISNUMBER(SEARCH(Aliases!$A$5:$A$80,E1539))*(Aliases!$A$5:$A$80&lt;&gt;""),0),0)),"UNMATCHED"))</f>
        <v/>
      </c>
      <c r="M1539" s="16"/>
      <c r="N1539" s="16"/>
    </row>
    <row r="1540" spans="1:14" x14ac:dyDescent="0.3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6"/>
      <c r="L1540" s="15" t="str">
        <f>IF(E1540="","",IFERROR(INDEX(Aliases!$B$5:$B$80,MATCH(1,INDEX(ISNUMBER(SEARCH(Aliases!$A$5:$A$80,E1540))*(Aliases!$A$5:$A$80&lt;&gt;""),0),0)),"UNMATCHED"))</f>
        <v/>
      </c>
      <c r="M1540" s="16"/>
      <c r="N1540" s="16"/>
    </row>
    <row r="1541" spans="1:14" x14ac:dyDescent="0.3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6"/>
      <c r="L1541" s="15" t="str">
        <f>IF(E1541="","",IFERROR(INDEX(Aliases!$B$5:$B$80,MATCH(1,INDEX(ISNUMBER(SEARCH(Aliases!$A$5:$A$80,E1541))*(Aliases!$A$5:$A$80&lt;&gt;""),0),0)),"UNMATCHED"))</f>
        <v/>
      </c>
      <c r="M1541" s="16"/>
      <c r="N1541" s="16"/>
    </row>
    <row r="1542" spans="1:14" x14ac:dyDescent="0.3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6"/>
      <c r="L1542" s="15" t="str">
        <f>IF(E1542="","",IFERROR(INDEX(Aliases!$B$5:$B$80,MATCH(1,INDEX(ISNUMBER(SEARCH(Aliases!$A$5:$A$80,E1542))*(Aliases!$A$5:$A$80&lt;&gt;""),0),0)),"UNMATCHED"))</f>
        <v/>
      </c>
      <c r="M1542" s="16"/>
      <c r="N1542" s="16"/>
    </row>
    <row r="1543" spans="1:14" x14ac:dyDescent="0.3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6"/>
      <c r="L1543" s="15" t="str">
        <f>IF(E1543="","",IFERROR(INDEX(Aliases!$B$5:$B$80,MATCH(1,INDEX(ISNUMBER(SEARCH(Aliases!$A$5:$A$80,E1543))*(Aliases!$A$5:$A$80&lt;&gt;""),0),0)),"UNMATCHED"))</f>
        <v/>
      </c>
      <c r="M1543" s="16"/>
      <c r="N1543" s="16"/>
    </row>
    <row r="1544" spans="1:14" x14ac:dyDescent="0.3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6"/>
      <c r="L1544" s="15" t="str">
        <f>IF(E1544="","",IFERROR(INDEX(Aliases!$B$5:$B$80,MATCH(1,INDEX(ISNUMBER(SEARCH(Aliases!$A$5:$A$80,E1544))*(Aliases!$A$5:$A$80&lt;&gt;""),0),0)),"UNMATCHED"))</f>
        <v/>
      </c>
      <c r="M1544" s="16"/>
      <c r="N1544" s="16"/>
    </row>
    <row r="1545" spans="1:14" x14ac:dyDescent="0.3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6"/>
      <c r="L1545" s="15" t="str">
        <f>IF(E1545="","",IFERROR(INDEX(Aliases!$B$5:$B$80,MATCH(1,INDEX(ISNUMBER(SEARCH(Aliases!$A$5:$A$80,E1545))*(Aliases!$A$5:$A$80&lt;&gt;""),0),0)),"UNMATCHED"))</f>
        <v/>
      </c>
      <c r="M1545" s="16"/>
      <c r="N1545" s="16"/>
    </row>
    <row r="1546" spans="1:14" x14ac:dyDescent="0.3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6"/>
      <c r="L1546" s="15" t="str">
        <f>IF(E1546="","",IFERROR(INDEX(Aliases!$B$5:$B$80,MATCH(1,INDEX(ISNUMBER(SEARCH(Aliases!$A$5:$A$80,E1546))*(Aliases!$A$5:$A$80&lt;&gt;""),0),0)),"UNMATCHED"))</f>
        <v/>
      </c>
      <c r="M1546" s="16"/>
      <c r="N1546" s="16"/>
    </row>
    <row r="1547" spans="1:14" x14ac:dyDescent="0.3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6"/>
      <c r="L1547" s="15" t="str">
        <f>IF(E1547="","",IFERROR(INDEX(Aliases!$B$5:$B$80,MATCH(1,INDEX(ISNUMBER(SEARCH(Aliases!$A$5:$A$80,E1547))*(Aliases!$A$5:$A$80&lt;&gt;""),0),0)),"UNMATCHED"))</f>
        <v/>
      </c>
      <c r="M1547" s="16"/>
      <c r="N1547" s="16"/>
    </row>
    <row r="1548" spans="1:14" x14ac:dyDescent="0.3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6"/>
      <c r="L1548" s="15" t="str">
        <f>IF(E1548="","",IFERROR(INDEX(Aliases!$B$5:$B$80,MATCH(1,INDEX(ISNUMBER(SEARCH(Aliases!$A$5:$A$80,E1548))*(Aliases!$A$5:$A$80&lt;&gt;""),0),0)),"UNMATCHED"))</f>
        <v/>
      </c>
      <c r="M1548" s="16"/>
      <c r="N1548" s="16"/>
    </row>
    <row r="1549" spans="1:14" x14ac:dyDescent="0.3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6"/>
      <c r="L1549" s="15" t="str">
        <f>IF(E1549="","",IFERROR(INDEX(Aliases!$B$5:$B$80,MATCH(1,INDEX(ISNUMBER(SEARCH(Aliases!$A$5:$A$80,E1549))*(Aliases!$A$5:$A$80&lt;&gt;""),0),0)),"UNMATCHED"))</f>
        <v/>
      </c>
      <c r="M1549" s="16"/>
      <c r="N1549" s="16"/>
    </row>
    <row r="1550" spans="1:14" x14ac:dyDescent="0.3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6"/>
      <c r="L1550" s="15" t="str">
        <f>IF(E1550="","",IFERROR(INDEX(Aliases!$B$5:$B$80,MATCH(1,INDEX(ISNUMBER(SEARCH(Aliases!$A$5:$A$80,E1550))*(Aliases!$A$5:$A$80&lt;&gt;""),0),0)),"UNMATCHED"))</f>
        <v/>
      </c>
      <c r="M1550" s="16"/>
      <c r="N1550" s="16"/>
    </row>
    <row r="1551" spans="1:14" x14ac:dyDescent="0.3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6"/>
      <c r="L1551" s="15" t="str">
        <f>IF(E1551="","",IFERROR(INDEX(Aliases!$B$5:$B$80,MATCH(1,INDEX(ISNUMBER(SEARCH(Aliases!$A$5:$A$80,E1551))*(Aliases!$A$5:$A$80&lt;&gt;""),0),0)),"UNMATCHED"))</f>
        <v/>
      </c>
      <c r="M1551" s="16"/>
      <c r="N1551" s="16"/>
    </row>
    <row r="1552" spans="1:14" x14ac:dyDescent="0.3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6"/>
      <c r="L1552" s="15" t="str">
        <f>IF(E1552="","",IFERROR(INDEX(Aliases!$B$5:$B$80,MATCH(1,INDEX(ISNUMBER(SEARCH(Aliases!$A$5:$A$80,E1552))*(Aliases!$A$5:$A$80&lt;&gt;""),0),0)),"UNMATCHED"))</f>
        <v/>
      </c>
      <c r="M1552" s="16"/>
      <c r="N1552" s="16"/>
    </row>
    <row r="1553" spans="1:14" x14ac:dyDescent="0.3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6"/>
      <c r="L1553" s="15" t="str">
        <f>IF(E1553="","",IFERROR(INDEX(Aliases!$B$5:$B$80,MATCH(1,INDEX(ISNUMBER(SEARCH(Aliases!$A$5:$A$80,E1553))*(Aliases!$A$5:$A$80&lt;&gt;""),0),0)),"UNMATCHED"))</f>
        <v/>
      </c>
      <c r="M1553" s="16"/>
      <c r="N1553" s="16"/>
    </row>
    <row r="1554" spans="1:14" x14ac:dyDescent="0.3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6"/>
      <c r="L1554" s="15" t="str">
        <f>IF(E1554="","",IFERROR(INDEX(Aliases!$B$5:$B$80,MATCH(1,INDEX(ISNUMBER(SEARCH(Aliases!$A$5:$A$80,E1554))*(Aliases!$A$5:$A$80&lt;&gt;""),0),0)),"UNMATCHED"))</f>
        <v/>
      </c>
      <c r="M1554" s="16"/>
      <c r="N1554" s="16"/>
    </row>
    <row r="1555" spans="1:14" x14ac:dyDescent="0.3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6"/>
      <c r="L1555" s="15" t="str">
        <f>IF(E1555="","",IFERROR(INDEX(Aliases!$B$5:$B$80,MATCH(1,INDEX(ISNUMBER(SEARCH(Aliases!$A$5:$A$80,E1555))*(Aliases!$A$5:$A$80&lt;&gt;""),0),0)),"UNMATCHED"))</f>
        <v/>
      </c>
      <c r="M1555" s="16"/>
      <c r="N1555" s="16"/>
    </row>
    <row r="1556" spans="1:14" x14ac:dyDescent="0.3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6"/>
      <c r="L1556" s="15" t="str">
        <f>IF(E1556="","",IFERROR(INDEX(Aliases!$B$5:$B$80,MATCH(1,INDEX(ISNUMBER(SEARCH(Aliases!$A$5:$A$80,E1556))*(Aliases!$A$5:$A$80&lt;&gt;""),0),0)),"UNMATCHED"))</f>
        <v/>
      </c>
      <c r="M1556" s="16"/>
      <c r="N1556" s="16"/>
    </row>
    <row r="1557" spans="1:14" x14ac:dyDescent="0.3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6"/>
      <c r="L1557" s="15" t="str">
        <f>IF(E1557="","",IFERROR(INDEX(Aliases!$B$5:$B$80,MATCH(1,INDEX(ISNUMBER(SEARCH(Aliases!$A$5:$A$80,E1557))*(Aliases!$A$5:$A$80&lt;&gt;""),0),0)),"UNMATCHED"))</f>
        <v/>
      </c>
      <c r="M1557" s="16"/>
      <c r="N1557" s="16"/>
    </row>
    <row r="1558" spans="1:14" x14ac:dyDescent="0.3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6"/>
      <c r="L1558" s="15" t="str">
        <f>IF(E1558="","",IFERROR(INDEX(Aliases!$B$5:$B$80,MATCH(1,INDEX(ISNUMBER(SEARCH(Aliases!$A$5:$A$80,E1558))*(Aliases!$A$5:$A$80&lt;&gt;""),0),0)),"UNMATCHED"))</f>
        <v/>
      </c>
      <c r="M1558" s="16"/>
      <c r="N1558" s="16"/>
    </row>
    <row r="1559" spans="1:14" x14ac:dyDescent="0.3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6"/>
      <c r="L1559" s="15" t="str">
        <f>IF(E1559="","",IFERROR(INDEX(Aliases!$B$5:$B$80,MATCH(1,INDEX(ISNUMBER(SEARCH(Aliases!$A$5:$A$80,E1559))*(Aliases!$A$5:$A$80&lt;&gt;""),0),0)),"UNMATCHED"))</f>
        <v/>
      </c>
      <c r="M1559" s="16"/>
      <c r="N1559" s="16"/>
    </row>
    <row r="1560" spans="1:14" x14ac:dyDescent="0.3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6"/>
      <c r="L1560" s="15" t="str">
        <f>IF(E1560="","",IFERROR(INDEX(Aliases!$B$5:$B$80,MATCH(1,INDEX(ISNUMBER(SEARCH(Aliases!$A$5:$A$80,E1560))*(Aliases!$A$5:$A$80&lt;&gt;""),0),0)),"UNMATCHED"))</f>
        <v/>
      </c>
      <c r="M1560" s="16"/>
      <c r="N1560" s="16"/>
    </row>
    <row r="1561" spans="1:14" x14ac:dyDescent="0.3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6"/>
      <c r="L1561" s="15" t="str">
        <f>IF(E1561="","",IFERROR(INDEX(Aliases!$B$5:$B$80,MATCH(1,INDEX(ISNUMBER(SEARCH(Aliases!$A$5:$A$80,E1561))*(Aliases!$A$5:$A$80&lt;&gt;""),0),0)),"UNMATCHED"))</f>
        <v/>
      </c>
      <c r="M1561" s="16"/>
      <c r="N1561" s="16"/>
    </row>
    <row r="1562" spans="1:14" x14ac:dyDescent="0.3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6"/>
      <c r="L1562" s="15" t="str">
        <f>IF(E1562="","",IFERROR(INDEX(Aliases!$B$5:$B$80,MATCH(1,INDEX(ISNUMBER(SEARCH(Aliases!$A$5:$A$80,E1562))*(Aliases!$A$5:$A$80&lt;&gt;""),0),0)),"UNMATCHED"))</f>
        <v/>
      </c>
      <c r="M1562" s="16"/>
      <c r="N1562" s="16"/>
    </row>
    <row r="1563" spans="1:14" x14ac:dyDescent="0.3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6"/>
      <c r="L1563" s="15" t="str">
        <f>IF(E1563="","",IFERROR(INDEX(Aliases!$B$5:$B$80,MATCH(1,INDEX(ISNUMBER(SEARCH(Aliases!$A$5:$A$80,E1563))*(Aliases!$A$5:$A$80&lt;&gt;""),0),0)),"UNMATCHED"))</f>
        <v/>
      </c>
      <c r="M1563" s="16"/>
      <c r="N1563" s="16"/>
    </row>
    <row r="1564" spans="1:14" x14ac:dyDescent="0.3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6"/>
      <c r="L1564" s="15" t="str">
        <f>IF(E1564="","",IFERROR(INDEX(Aliases!$B$5:$B$80,MATCH(1,INDEX(ISNUMBER(SEARCH(Aliases!$A$5:$A$80,E1564))*(Aliases!$A$5:$A$80&lt;&gt;""),0),0)),"UNMATCHED"))</f>
        <v/>
      </c>
      <c r="M1564" s="16"/>
      <c r="N1564" s="16"/>
    </row>
    <row r="1565" spans="1:14" x14ac:dyDescent="0.3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6"/>
      <c r="L1565" s="15" t="str">
        <f>IF(E1565="","",IFERROR(INDEX(Aliases!$B$5:$B$80,MATCH(1,INDEX(ISNUMBER(SEARCH(Aliases!$A$5:$A$80,E1565))*(Aliases!$A$5:$A$80&lt;&gt;""),0),0)),"UNMATCHED"))</f>
        <v/>
      </c>
      <c r="M1565" s="16"/>
      <c r="N1565" s="16"/>
    </row>
    <row r="1566" spans="1:14" x14ac:dyDescent="0.3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6"/>
      <c r="L1566" s="15" t="str">
        <f>IF(E1566="","",IFERROR(INDEX(Aliases!$B$5:$B$80,MATCH(1,INDEX(ISNUMBER(SEARCH(Aliases!$A$5:$A$80,E1566))*(Aliases!$A$5:$A$80&lt;&gt;""),0),0)),"UNMATCHED"))</f>
        <v/>
      </c>
      <c r="M1566" s="16"/>
      <c r="N1566" s="16"/>
    </row>
    <row r="1567" spans="1:14" x14ac:dyDescent="0.3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6"/>
      <c r="L1567" s="15" t="str">
        <f>IF(E1567="","",IFERROR(INDEX(Aliases!$B$5:$B$80,MATCH(1,INDEX(ISNUMBER(SEARCH(Aliases!$A$5:$A$80,E1567))*(Aliases!$A$5:$A$80&lt;&gt;""),0),0)),"UNMATCHED"))</f>
        <v/>
      </c>
      <c r="M1567" s="16"/>
      <c r="N1567" s="16"/>
    </row>
    <row r="1568" spans="1:14" x14ac:dyDescent="0.3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6"/>
      <c r="L1568" s="15" t="str">
        <f>IF(E1568="","",IFERROR(INDEX(Aliases!$B$5:$B$80,MATCH(1,INDEX(ISNUMBER(SEARCH(Aliases!$A$5:$A$80,E1568))*(Aliases!$A$5:$A$80&lt;&gt;""),0),0)),"UNMATCHED"))</f>
        <v/>
      </c>
      <c r="M1568" s="16"/>
      <c r="N1568" s="16"/>
    </row>
    <row r="1569" spans="1:14" x14ac:dyDescent="0.3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6"/>
      <c r="L1569" s="15" t="str">
        <f>IF(E1569="","",IFERROR(INDEX(Aliases!$B$5:$B$80,MATCH(1,INDEX(ISNUMBER(SEARCH(Aliases!$A$5:$A$80,E1569))*(Aliases!$A$5:$A$80&lt;&gt;""),0),0)),"UNMATCHED"))</f>
        <v/>
      </c>
      <c r="M1569" s="16"/>
      <c r="N1569" s="16"/>
    </row>
    <row r="1570" spans="1:14" x14ac:dyDescent="0.3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6"/>
      <c r="L1570" s="15" t="str">
        <f>IF(E1570="","",IFERROR(INDEX(Aliases!$B$5:$B$80,MATCH(1,INDEX(ISNUMBER(SEARCH(Aliases!$A$5:$A$80,E1570))*(Aliases!$A$5:$A$80&lt;&gt;""),0),0)),"UNMATCHED"))</f>
        <v/>
      </c>
      <c r="M1570" s="16"/>
      <c r="N1570" s="16"/>
    </row>
    <row r="1571" spans="1:14" x14ac:dyDescent="0.3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6"/>
      <c r="L1571" s="15" t="str">
        <f>IF(E1571="","",IFERROR(INDEX(Aliases!$B$5:$B$80,MATCH(1,INDEX(ISNUMBER(SEARCH(Aliases!$A$5:$A$80,E1571))*(Aliases!$A$5:$A$80&lt;&gt;""),0),0)),"UNMATCHED"))</f>
        <v/>
      </c>
      <c r="M1571" s="16"/>
      <c r="N1571" s="16"/>
    </row>
    <row r="1572" spans="1:14" x14ac:dyDescent="0.3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6"/>
      <c r="L1572" s="15" t="str">
        <f>IF(E1572="","",IFERROR(INDEX(Aliases!$B$5:$B$80,MATCH(1,INDEX(ISNUMBER(SEARCH(Aliases!$A$5:$A$80,E1572))*(Aliases!$A$5:$A$80&lt;&gt;""),0),0)),"UNMATCHED"))</f>
        <v/>
      </c>
      <c r="M1572" s="16"/>
      <c r="N1572" s="16"/>
    </row>
    <row r="1573" spans="1:14" x14ac:dyDescent="0.3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6"/>
      <c r="L1573" s="15" t="str">
        <f>IF(E1573="","",IFERROR(INDEX(Aliases!$B$5:$B$80,MATCH(1,INDEX(ISNUMBER(SEARCH(Aliases!$A$5:$A$80,E1573))*(Aliases!$A$5:$A$80&lt;&gt;""),0),0)),"UNMATCHED"))</f>
        <v/>
      </c>
      <c r="M1573" s="16"/>
      <c r="N1573" s="16"/>
    </row>
    <row r="1574" spans="1:14" x14ac:dyDescent="0.3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6"/>
      <c r="L1574" s="15" t="str">
        <f>IF(E1574="","",IFERROR(INDEX(Aliases!$B$5:$B$80,MATCH(1,INDEX(ISNUMBER(SEARCH(Aliases!$A$5:$A$80,E1574))*(Aliases!$A$5:$A$80&lt;&gt;""),0),0)),"UNMATCHED"))</f>
        <v/>
      </c>
      <c r="M1574" s="16"/>
      <c r="N1574" s="16"/>
    </row>
    <row r="1575" spans="1:14" x14ac:dyDescent="0.3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6"/>
      <c r="L1575" s="15" t="str">
        <f>IF(E1575="","",IFERROR(INDEX(Aliases!$B$5:$B$80,MATCH(1,INDEX(ISNUMBER(SEARCH(Aliases!$A$5:$A$80,E1575))*(Aliases!$A$5:$A$80&lt;&gt;""),0),0)),"UNMATCHED"))</f>
        <v/>
      </c>
      <c r="M1575" s="16"/>
      <c r="N1575" s="16"/>
    </row>
    <row r="1576" spans="1:14" x14ac:dyDescent="0.3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6"/>
      <c r="L1576" s="15" t="str">
        <f>IF(E1576="","",IFERROR(INDEX(Aliases!$B$5:$B$80,MATCH(1,INDEX(ISNUMBER(SEARCH(Aliases!$A$5:$A$80,E1576))*(Aliases!$A$5:$A$80&lt;&gt;""),0),0)),"UNMATCHED"))</f>
        <v/>
      </c>
      <c r="M1576" s="16"/>
      <c r="N1576" s="16"/>
    </row>
    <row r="1577" spans="1:14" x14ac:dyDescent="0.3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6"/>
      <c r="L1577" s="15" t="str">
        <f>IF(E1577="","",IFERROR(INDEX(Aliases!$B$5:$B$80,MATCH(1,INDEX(ISNUMBER(SEARCH(Aliases!$A$5:$A$80,E1577))*(Aliases!$A$5:$A$80&lt;&gt;""),0),0)),"UNMATCHED"))</f>
        <v/>
      </c>
      <c r="M1577" s="16"/>
      <c r="N1577" s="16"/>
    </row>
    <row r="1578" spans="1:14" x14ac:dyDescent="0.3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6"/>
      <c r="L1578" s="15" t="str">
        <f>IF(E1578="","",IFERROR(INDEX(Aliases!$B$5:$B$80,MATCH(1,INDEX(ISNUMBER(SEARCH(Aliases!$A$5:$A$80,E1578))*(Aliases!$A$5:$A$80&lt;&gt;""),0),0)),"UNMATCHED"))</f>
        <v/>
      </c>
      <c r="M1578" s="16"/>
      <c r="N1578" s="16"/>
    </row>
    <row r="1579" spans="1:14" x14ac:dyDescent="0.3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6"/>
      <c r="L1579" s="15" t="str">
        <f>IF(E1579="","",IFERROR(INDEX(Aliases!$B$5:$B$80,MATCH(1,INDEX(ISNUMBER(SEARCH(Aliases!$A$5:$A$80,E1579))*(Aliases!$A$5:$A$80&lt;&gt;""),0),0)),"UNMATCHED"))</f>
        <v/>
      </c>
      <c r="M1579" s="16"/>
      <c r="N1579" s="16"/>
    </row>
    <row r="1580" spans="1:14" x14ac:dyDescent="0.3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6"/>
      <c r="L1580" s="15" t="str">
        <f>IF(E1580="","",IFERROR(INDEX(Aliases!$B$5:$B$80,MATCH(1,INDEX(ISNUMBER(SEARCH(Aliases!$A$5:$A$80,E1580))*(Aliases!$A$5:$A$80&lt;&gt;""),0),0)),"UNMATCHED"))</f>
        <v/>
      </c>
      <c r="M1580" s="16"/>
      <c r="N1580" s="16"/>
    </row>
    <row r="1581" spans="1:14" x14ac:dyDescent="0.3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6"/>
      <c r="L1581" s="15" t="str">
        <f>IF(E1581="","",IFERROR(INDEX(Aliases!$B$5:$B$80,MATCH(1,INDEX(ISNUMBER(SEARCH(Aliases!$A$5:$A$80,E1581))*(Aliases!$A$5:$A$80&lt;&gt;""),0),0)),"UNMATCHED"))</f>
        <v/>
      </c>
      <c r="M1581" s="16"/>
      <c r="N1581" s="16"/>
    </row>
    <row r="1582" spans="1:14" x14ac:dyDescent="0.3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6"/>
      <c r="L1582" s="15" t="str">
        <f>IF(E1582="","",IFERROR(INDEX(Aliases!$B$5:$B$80,MATCH(1,INDEX(ISNUMBER(SEARCH(Aliases!$A$5:$A$80,E1582))*(Aliases!$A$5:$A$80&lt;&gt;""),0),0)),"UNMATCHED"))</f>
        <v/>
      </c>
      <c r="M1582" s="16"/>
      <c r="N1582" s="16"/>
    </row>
    <row r="1583" spans="1:14" x14ac:dyDescent="0.3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6"/>
      <c r="L1583" s="15" t="str">
        <f>IF(E1583="","",IFERROR(INDEX(Aliases!$B$5:$B$80,MATCH(1,INDEX(ISNUMBER(SEARCH(Aliases!$A$5:$A$80,E1583))*(Aliases!$A$5:$A$80&lt;&gt;""),0),0)),"UNMATCHED"))</f>
        <v/>
      </c>
      <c r="M1583" s="16"/>
      <c r="N1583" s="16"/>
    </row>
    <row r="1584" spans="1:14" x14ac:dyDescent="0.3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6"/>
      <c r="L1584" s="15" t="str">
        <f>IF(E1584="","",IFERROR(INDEX(Aliases!$B$5:$B$80,MATCH(1,INDEX(ISNUMBER(SEARCH(Aliases!$A$5:$A$80,E1584))*(Aliases!$A$5:$A$80&lt;&gt;""),0),0)),"UNMATCHED"))</f>
        <v/>
      </c>
      <c r="M1584" s="16"/>
      <c r="N1584" s="16"/>
    </row>
    <row r="1585" spans="1:14" x14ac:dyDescent="0.3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6"/>
      <c r="L1585" s="15" t="str">
        <f>IF(E1585="","",IFERROR(INDEX(Aliases!$B$5:$B$80,MATCH(1,INDEX(ISNUMBER(SEARCH(Aliases!$A$5:$A$80,E1585))*(Aliases!$A$5:$A$80&lt;&gt;""),0),0)),"UNMATCHED"))</f>
        <v/>
      </c>
      <c r="M1585" s="16"/>
      <c r="N1585" s="16"/>
    </row>
    <row r="1586" spans="1:14" x14ac:dyDescent="0.3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6"/>
      <c r="L1586" s="15" t="str">
        <f>IF(E1586="","",IFERROR(INDEX(Aliases!$B$5:$B$80,MATCH(1,INDEX(ISNUMBER(SEARCH(Aliases!$A$5:$A$80,E1586))*(Aliases!$A$5:$A$80&lt;&gt;""),0),0)),"UNMATCHED"))</f>
        <v/>
      </c>
      <c r="M1586" s="16"/>
      <c r="N1586" s="16"/>
    </row>
    <row r="1587" spans="1:14" x14ac:dyDescent="0.3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6"/>
      <c r="L1587" s="15" t="str">
        <f>IF(E1587="","",IFERROR(INDEX(Aliases!$B$5:$B$80,MATCH(1,INDEX(ISNUMBER(SEARCH(Aliases!$A$5:$A$80,E1587))*(Aliases!$A$5:$A$80&lt;&gt;""),0),0)),"UNMATCHED"))</f>
        <v/>
      </c>
      <c r="M1587" s="16"/>
      <c r="N1587" s="16"/>
    </row>
    <row r="1588" spans="1:14" x14ac:dyDescent="0.3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6"/>
      <c r="L1588" s="15" t="str">
        <f>IF(E1588="","",IFERROR(INDEX(Aliases!$B$5:$B$80,MATCH(1,INDEX(ISNUMBER(SEARCH(Aliases!$A$5:$A$80,E1588))*(Aliases!$A$5:$A$80&lt;&gt;""),0),0)),"UNMATCHED"))</f>
        <v/>
      </c>
      <c r="M1588" s="16"/>
      <c r="N1588" s="16"/>
    </row>
    <row r="1589" spans="1:14" x14ac:dyDescent="0.3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6"/>
      <c r="L1589" s="15" t="str">
        <f>IF(E1589="","",IFERROR(INDEX(Aliases!$B$5:$B$80,MATCH(1,INDEX(ISNUMBER(SEARCH(Aliases!$A$5:$A$80,E1589))*(Aliases!$A$5:$A$80&lt;&gt;""),0),0)),"UNMATCHED"))</f>
        <v/>
      </c>
      <c r="M1589" s="16"/>
      <c r="N1589" s="16"/>
    </row>
    <row r="1590" spans="1:14" x14ac:dyDescent="0.3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6"/>
      <c r="L1590" s="15" t="str">
        <f>IF(E1590="","",IFERROR(INDEX(Aliases!$B$5:$B$80,MATCH(1,INDEX(ISNUMBER(SEARCH(Aliases!$A$5:$A$80,E1590))*(Aliases!$A$5:$A$80&lt;&gt;""),0),0)),"UNMATCHED"))</f>
        <v/>
      </c>
      <c r="M1590" s="16"/>
      <c r="N1590" s="16"/>
    </row>
    <row r="1591" spans="1:14" x14ac:dyDescent="0.3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6"/>
      <c r="L1591" s="15" t="str">
        <f>IF(E1591="","",IFERROR(INDEX(Aliases!$B$5:$B$80,MATCH(1,INDEX(ISNUMBER(SEARCH(Aliases!$A$5:$A$80,E1591))*(Aliases!$A$5:$A$80&lt;&gt;""),0),0)),"UNMATCHED"))</f>
        <v/>
      </c>
      <c r="M1591" s="16"/>
      <c r="N1591" s="16"/>
    </row>
    <row r="1592" spans="1:14" x14ac:dyDescent="0.3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6"/>
      <c r="L1592" s="15" t="str">
        <f>IF(E1592="","",IFERROR(INDEX(Aliases!$B$5:$B$80,MATCH(1,INDEX(ISNUMBER(SEARCH(Aliases!$A$5:$A$80,E1592))*(Aliases!$A$5:$A$80&lt;&gt;""),0),0)),"UNMATCHED"))</f>
        <v/>
      </c>
      <c r="M1592" s="16"/>
      <c r="N1592" s="16"/>
    </row>
    <row r="1593" spans="1:14" x14ac:dyDescent="0.3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6"/>
      <c r="L1593" s="15" t="str">
        <f>IF(E1593="","",IFERROR(INDEX(Aliases!$B$5:$B$80,MATCH(1,INDEX(ISNUMBER(SEARCH(Aliases!$A$5:$A$80,E1593))*(Aliases!$A$5:$A$80&lt;&gt;""),0),0)),"UNMATCHED"))</f>
        <v/>
      </c>
      <c r="M1593" s="16"/>
      <c r="N1593" s="16"/>
    </row>
    <row r="1594" spans="1:14" x14ac:dyDescent="0.3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6"/>
      <c r="L1594" s="15" t="str">
        <f>IF(E1594="","",IFERROR(INDEX(Aliases!$B$5:$B$80,MATCH(1,INDEX(ISNUMBER(SEARCH(Aliases!$A$5:$A$80,E1594))*(Aliases!$A$5:$A$80&lt;&gt;""),0),0)),"UNMATCHED"))</f>
        <v/>
      </c>
      <c r="M1594" s="16"/>
      <c r="N1594" s="16"/>
    </row>
    <row r="1595" spans="1:14" x14ac:dyDescent="0.3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6"/>
      <c r="L1595" s="15" t="str">
        <f>IF(E1595="","",IFERROR(INDEX(Aliases!$B$5:$B$80,MATCH(1,INDEX(ISNUMBER(SEARCH(Aliases!$A$5:$A$80,E1595))*(Aliases!$A$5:$A$80&lt;&gt;""),0),0)),"UNMATCHED"))</f>
        <v/>
      </c>
      <c r="M1595" s="16"/>
      <c r="N1595" s="16"/>
    </row>
    <row r="1596" spans="1:14" x14ac:dyDescent="0.3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6"/>
      <c r="L1596" s="15" t="str">
        <f>IF(E1596="","",IFERROR(INDEX(Aliases!$B$5:$B$80,MATCH(1,INDEX(ISNUMBER(SEARCH(Aliases!$A$5:$A$80,E1596))*(Aliases!$A$5:$A$80&lt;&gt;""),0),0)),"UNMATCHED"))</f>
        <v/>
      </c>
      <c r="M1596" s="16"/>
      <c r="N1596" s="16"/>
    </row>
    <row r="1597" spans="1:14" x14ac:dyDescent="0.3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6"/>
      <c r="L1597" s="15" t="str">
        <f>IF(E1597="","",IFERROR(INDEX(Aliases!$B$5:$B$80,MATCH(1,INDEX(ISNUMBER(SEARCH(Aliases!$A$5:$A$80,E1597))*(Aliases!$A$5:$A$80&lt;&gt;""),0),0)),"UNMATCHED"))</f>
        <v/>
      </c>
      <c r="M1597" s="16"/>
      <c r="N1597" s="16"/>
    </row>
    <row r="1598" spans="1:14" x14ac:dyDescent="0.3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6"/>
      <c r="L1598" s="15" t="str">
        <f>IF(E1598="","",IFERROR(INDEX(Aliases!$B$5:$B$80,MATCH(1,INDEX(ISNUMBER(SEARCH(Aliases!$A$5:$A$80,E1598))*(Aliases!$A$5:$A$80&lt;&gt;""),0),0)),"UNMATCHED"))</f>
        <v/>
      </c>
      <c r="M1598" s="16"/>
      <c r="N1598" s="16"/>
    </row>
    <row r="1599" spans="1:14" x14ac:dyDescent="0.3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6"/>
      <c r="L1599" s="15" t="str">
        <f>IF(E1599="","",IFERROR(INDEX(Aliases!$B$5:$B$80,MATCH(1,INDEX(ISNUMBER(SEARCH(Aliases!$A$5:$A$80,E1599))*(Aliases!$A$5:$A$80&lt;&gt;""),0),0)),"UNMATCHED"))</f>
        <v/>
      </c>
      <c r="M1599" s="16"/>
      <c r="N1599" s="16"/>
    </row>
    <row r="1600" spans="1:14" x14ac:dyDescent="0.3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6"/>
      <c r="L1600" s="15" t="str">
        <f>IF(E1600="","",IFERROR(INDEX(Aliases!$B$5:$B$80,MATCH(1,INDEX(ISNUMBER(SEARCH(Aliases!$A$5:$A$80,E1600))*(Aliases!$A$5:$A$80&lt;&gt;""),0),0)),"UNMATCHED"))</f>
        <v/>
      </c>
      <c r="M1600" s="16"/>
      <c r="N1600" s="16"/>
    </row>
    <row r="1601" spans="1:14" x14ac:dyDescent="0.3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6"/>
      <c r="L1601" s="15" t="str">
        <f>IF(E1601="","",IFERROR(INDEX(Aliases!$B$5:$B$80,MATCH(1,INDEX(ISNUMBER(SEARCH(Aliases!$A$5:$A$80,E1601))*(Aliases!$A$5:$A$80&lt;&gt;""),0),0)),"UNMATCHED"))</f>
        <v/>
      </c>
      <c r="M1601" s="16"/>
      <c r="N1601" s="16"/>
    </row>
    <row r="1602" spans="1:14" x14ac:dyDescent="0.3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6"/>
      <c r="L1602" s="15" t="str">
        <f>IF(E1602="","",IFERROR(INDEX(Aliases!$B$5:$B$80,MATCH(1,INDEX(ISNUMBER(SEARCH(Aliases!$A$5:$A$80,E1602))*(Aliases!$A$5:$A$80&lt;&gt;""),0),0)),"UNMATCHED"))</f>
        <v/>
      </c>
      <c r="M1602" s="16"/>
      <c r="N1602" s="16"/>
    </row>
    <row r="1603" spans="1:14" x14ac:dyDescent="0.3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6"/>
      <c r="L1603" s="15" t="str">
        <f>IF(E1603="","",IFERROR(INDEX(Aliases!$B$5:$B$80,MATCH(1,INDEX(ISNUMBER(SEARCH(Aliases!$A$5:$A$80,E1603))*(Aliases!$A$5:$A$80&lt;&gt;""),0),0)),"UNMATCHED"))</f>
        <v/>
      </c>
      <c r="M1603" s="16"/>
      <c r="N1603" s="16"/>
    </row>
    <row r="1604" spans="1:14" x14ac:dyDescent="0.3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6"/>
      <c r="L1604" s="15" t="str">
        <f>IF(E1604="","",IFERROR(INDEX(Aliases!$B$5:$B$80,MATCH(1,INDEX(ISNUMBER(SEARCH(Aliases!$A$5:$A$80,E1604))*(Aliases!$A$5:$A$80&lt;&gt;""),0),0)),"UNMATCHED"))</f>
        <v/>
      </c>
      <c r="M1604" s="16"/>
      <c r="N1604" s="16"/>
    </row>
    <row r="1605" spans="1:14" x14ac:dyDescent="0.3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6"/>
      <c r="L1605" s="15" t="str">
        <f>IF(E1605="","",IFERROR(INDEX(Aliases!$B$5:$B$80,MATCH(1,INDEX(ISNUMBER(SEARCH(Aliases!$A$5:$A$80,E1605))*(Aliases!$A$5:$A$80&lt;&gt;""),0),0)),"UNMATCHED"))</f>
        <v/>
      </c>
      <c r="M1605" s="16"/>
      <c r="N1605" s="16"/>
    </row>
    <row r="1606" spans="1:14" x14ac:dyDescent="0.3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6"/>
      <c r="L1606" s="15" t="str">
        <f>IF(E1606="","",IFERROR(INDEX(Aliases!$B$5:$B$80,MATCH(1,INDEX(ISNUMBER(SEARCH(Aliases!$A$5:$A$80,E1606))*(Aliases!$A$5:$A$80&lt;&gt;""),0),0)),"UNMATCHED"))</f>
        <v/>
      </c>
      <c r="M1606" s="16"/>
      <c r="N1606" s="16"/>
    </row>
    <row r="1607" spans="1:14" x14ac:dyDescent="0.3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6"/>
      <c r="L1607" s="15" t="str">
        <f>IF(E1607="","",IFERROR(INDEX(Aliases!$B$5:$B$80,MATCH(1,INDEX(ISNUMBER(SEARCH(Aliases!$A$5:$A$80,E1607))*(Aliases!$A$5:$A$80&lt;&gt;""),0),0)),"UNMATCHED"))</f>
        <v/>
      </c>
      <c r="M1607" s="16"/>
      <c r="N1607" s="16"/>
    </row>
    <row r="1608" spans="1:14" x14ac:dyDescent="0.3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6"/>
      <c r="L1608" s="15" t="str">
        <f>IF(E1608="","",IFERROR(INDEX(Aliases!$B$5:$B$80,MATCH(1,INDEX(ISNUMBER(SEARCH(Aliases!$A$5:$A$80,E1608))*(Aliases!$A$5:$A$80&lt;&gt;""),0),0)),"UNMATCHED"))</f>
        <v/>
      </c>
      <c r="M1608" s="16"/>
      <c r="N1608" s="16"/>
    </row>
    <row r="1609" spans="1:14" x14ac:dyDescent="0.3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6"/>
      <c r="L1609" s="15" t="str">
        <f>IF(E1609="","",IFERROR(INDEX(Aliases!$B$5:$B$80,MATCH(1,INDEX(ISNUMBER(SEARCH(Aliases!$A$5:$A$80,E1609))*(Aliases!$A$5:$A$80&lt;&gt;""),0),0)),"UNMATCHED"))</f>
        <v/>
      </c>
      <c r="M1609" s="16"/>
      <c r="N1609" s="16"/>
    </row>
    <row r="1610" spans="1:14" x14ac:dyDescent="0.3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6"/>
      <c r="L1610" s="15" t="str">
        <f>IF(E1610="","",IFERROR(INDEX(Aliases!$B$5:$B$80,MATCH(1,INDEX(ISNUMBER(SEARCH(Aliases!$A$5:$A$80,E1610))*(Aliases!$A$5:$A$80&lt;&gt;""),0),0)),"UNMATCHED"))</f>
        <v/>
      </c>
      <c r="M1610" s="16"/>
      <c r="N1610" s="16"/>
    </row>
    <row r="1611" spans="1:14" x14ac:dyDescent="0.3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6"/>
      <c r="L1611" s="15" t="str">
        <f>IF(E1611="","",IFERROR(INDEX(Aliases!$B$5:$B$80,MATCH(1,INDEX(ISNUMBER(SEARCH(Aliases!$A$5:$A$80,E1611))*(Aliases!$A$5:$A$80&lt;&gt;""),0),0)),"UNMATCHED"))</f>
        <v/>
      </c>
      <c r="M1611" s="16"/>
      <c r="N1611" s="16"/>
    </row>
    <row r="1612" spans="1:14" x14ac:dyDescent="0.3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6"/>
      <c r="L1612" s="15" t="str">
        <f>IF(E1612="","",IFERROR(INDEX(Aliases!$B$5:$B$80,MATCH(1,INDEX(ISNUMBER(SEARCH(Aliases!$A$5:$A$80,E1612))*(Aliases!$A$5:$A$80&lt;&gt;""),0),0)),"UNMATCHED"))</f>
        <v/>
      </c>
      <c r="M1612" s="16"/>
      <c r="N1612" s="16"/>
    </row>
    <row r="1613" spans="1:14" x14ac:dyDescent="0.3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6"/>
      <c r="L1613" s="15" t="str">
        <f>IF(E1613="","",IFERROR(INDEX(Aliases!$B$5:$B$80,MATCH(1,INDEX(ISNUMBER(SEARCH(Aliases!$A$5:$A$80,E1613))*(Aliases!$A$5:$A$80&lt;&gt;""),0),0)),"UNMATCHED"))</f>
        <v/>
      </c>
      <c r="M1613" s="16"/>
      <c r="N1613" s="16"/>
    </row>
    <row r="1614" spans="1:14" x14ac:dyDescent="0.3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6"/>
      <c r="L1614" s="15" t="str">
        <f>IF(E1614="","",IFERROR(INDEX(Aliases!$B$5:$B$80,MATCH(1,INDEX(ISNUMBER(SEARCH(Aliases!$A$5:$A$80,E1614))*(Aliases!$A$5:$A$80&lt;&gt;""),0),0)),"UNMATCHED"))</f>
        <v/>
      </c>
      <c r="M1614" s="16"/>
      <c r="N1614" s="16"/>
    </row>
    <row r="1615" spans="1:14" x14ac:dyDescent="0.3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6"/>
      <c r="L1615" s="15" t="str">
        <f>IF(E1615="","",IFERROR(INDEX(Aliases!$B$5:$B$80,MATCH(1,INDEX(ISNUMBER(SEARCH(Aliases!$A$5:$A$80,E1615))*(Aliases!$A$5:$A$80&lt;&gt;""),0),0)),"UNMATCHED"))</f>
        <v/>
      </c>
      <c r="M1615" s="16"/>
      <c r="N1615" s="16"/>
    </row>
    <row r="1616" spans="1:14" x14ac:dyDescent="0.3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6"/>
      <c r="L1616" s="15" t="str">
        <f>IF(E1616="","",IFERROR(INDEX(Aliases!$B$5:$B$80,MATCH(1,INDEX(ISNUMBER(SEARCH(Aliases!$A$5:$A$80,E1616))*(Aliases!$A$5:$A$80&lt;&gt;""),0),0)),"UNMATCHED"))</f>
        <v/>
      </c>
      <c r="M1616" s="16"/>
      <c r="N1616" s="16"/>
    </row>
    <row r="1617" spans="1:14" x14ac:dyDescent="0.3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6"/>
      <c r="L1617" s="15" t="str">
        <f>IF(E1617="","",IFERROR(INDEX(Aliases!$B$5:$B$80,MATCH(1,INDEX(ISNUMBER(SEARCH(Aliases!$A$5:$A$80,E1617))*(Aliases!$A$5:$A$80&lt;&gt;""),0),0)),"UNMATCHED"))</f>
        <v/>
      </c>
      <c r="M1617" s="16"/>
      <c r="N1617" s="16"/>
    </row>
    <row r="1618" spans="1:14" x14ac:dyDescent="0.3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6"/>
      <c r="L1618" s="15" t="str">
        <f>IF(E1618="","",IFERROR(INDEX(Aliases!$B$5:$B$80,MATCH(1,INDEX(ISNUMBER(SEARCH(Aliases!$A$5:$A$80,E1618))*(Aliases!$A$5:$A$80&lt;&gt;""),0),0)),"UNMATCHED"))</f>
        <v/>
      </c>
      <c r="M1618" s="16"/>
      <c r="N1618" s="16"/>
    </row>
    <row r="1619" spans="1:14" x14ac:dyDescent="0.3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6"/>
      <c r="L1619" s="15" t="str">
        <f>IF(E1619="","",IFERROR(INDEX(Aliases!$B$5:$B$80,MATCH(1,INDEX(ISNUMBER(SEARCH(Aliases!$A$5:$A$80,E1619))*(Aliases!$A$5:$A$80&lt;&gt;""),0),0)),"UNMATCHED"))</f>
        <v/>
      </c>
      <c r="M1619" s="16"/>
      <c r="N1619" s="16"/>
    </row>
    <row r="1620" spans="1:14" x14ac:dyDescent="0.3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6"/>
      <c r="L1620" s="15" t="str">
        <f>IF(E1620="","",IFERROR(INDEX(Aliases!$B$5:$B$80,MATCH(1,INDEX(ISNUMBER(SEARCH(Aliases!$A$5:$A$80,E1620))*(Aliases!$A$5:$A$80&lt;&gt;""),0),0)),"UNMATCHED"))</f>
        <v/>
      </c>
      <c r="M1620" s="16"/>
      <c r="N1620" s="16"/>
    </row>
    <row r="1621" spans="1:14" x14ac:dyDescent="0.3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6"/>
      <c r="L1621" s="15" t="str">
        <f>IF(E1621="","",IFERROR(INDEX(Aliases!$B$5:$B$80,MATCH(1,INDEX(ISNUMBER(SEARCH(Aliases!$A$5:$A$80,E1621))*(Aliases!$A$5:$A$80&lt;&gt;""),0),0)),"UNMATCHED"))</f>
        <v/>
      </c>
      <c r="M1621" s="16"/>
      <c r="N1621" s="16"/>
    </row>
    <row r="1622" spans="1:14" x14ac:dyDescent="0.3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6"/>
      <c r="L1622" s="15" t="str">
        <f>IF(E1622="","",IFERROR(INDEX(Aliases!$B$5:$B$80,MATCH(1,INDEX(ISNUMBER(SEARCH(Aliases!$A$5:$A$80,E1622))*(Aliases!$A$5:$A$80&lt;&gt;""),0),0)),"UNMATCHED"))</f>
        <v/>
      </c>
      <c r="M1622" s="16"/>
      <c r="N1622" s="16"/>
    </row>
    <row r="1623" spans="1:14" x14ac:dyDescent="0.3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6"/>
      <c r="L1623" s="15" t="str">
        <f>IF(E1623="","",IFERROR(INDEX(Aliases!$B$5:$B$80,MATCH(1,INDEX(ISNUMBER(SEARCH(Aliases!$A$5:$A$80,E1623))*(Aliases!$A$5:$A$80&lt;&gt;""),0),0)),"UNMATCHED"))</f>
        <v/>
      </c>
      <c r="M1623" s="16"/>
      <c r="N1623" s="16"/>
    </row>
    <row r="1624" spans="1:14" x14ac:dyDescent="0.3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6"/>
      <c r="L1624" s="15" t="str">
        <f>IF(E1624="","",IFERROR(INDEX(Aliases!$B$5:$B$80,MATCH(1,INDEX(ISNUMBER(SEARCH(Aliases!$A$5:$A$80,E1624))*(Aliases!$A$5:$A$80&lt;&gt;""),0),0)),"UNMATCHED"))</f>
        <v/>
      </c>
      <c r="M1624" s="16"/>
      <c r="N1624" s="16"/>
    </row>
    <row r="1625" spans="1:14" x14ac:dyDescent="0.3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6"/>
      <c r="L1625" s="15" t="str">
        <f>IF(E1625="","",IFERROR(INDEX(Aliases!$B$5:$B$80,MATCH(1,INDEX(ISNUMBER(SEARCH(Aliases!$A$5:$A$80,E1625))*(Aliases!$A$5:$A$80&lt;&gt;""),0),0)),"UNMATCHED"))</f>
        <v/>
      </c>
      <c r="M1625" s="16"/>
      <c r="N1625" s="16"/>
    </row>
    <row r="1626" spans="1:14" x14ac:dyDescent="0.3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6"/>
      <c r="L1626" s="15" t="str">
        <f>IF(E1626="","",IFERROR(INDEX(Aliases!$B$5:$B$80,MATCH(1,INDEX(ISNUMBER(SEARCH(Aliases!$A$5:$A$80,E1626))*(Aliases!$A$5:$A$80&lt;&gt;""),0),0)),"UNMATCHED"))</f>
        <v/>
      </c>
      <c r="M1626" s="16"/>
      <c r="N1626" s="16"/>
    </row>
    <row r="1627" spans="1:14" x14ac:dyDescent="0.3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6"/>
      <c r="L1627" s="15" t="str">
        <f>IF(E1627="","",IFERROR(INDEX(Aliases!$B$5:$B$80,MATCH(1,INDEX(ISNUMBER(SEARCH(Aliases!$A$5:$A$80,E1627))*(Aliases!$A$5:$A$80&lt;&gt;""),0),0)),"UNMATCHED"))</f>
        <v/>
      </c>
      <c r="M1627" s="16"/>
      <c r="N1627" s="16"/>
    </row>
    <row r="1628" spans="1:14" x14ac:dyDescent="0.3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6"/>
      <c r="L1628" s="15" t="str">
        <f>IF(E1628="","",IFERROR(INDEX(Aliases!$B$5:$B$80,MATCH(1,INDEX(ISNUMBER(SEARCH(Aliases!$A$5:$A$80,E1628))*(Aliases!$A$5:$A$80&lt;&gt;""),0),0)),"UNMATCHED"))</f>
        <v/>
      </c>
      <c r="M1628" s="16"/>
      <c r="N1628" s="16"/>
    </row>
    <row r="1629" spans="1:14" x14ac:dyDescent="0.3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6"/>
      <c r="L1629" s="15" t="str">
        <f>IF(E1629="","",IFERROR(INDEX(Aliases!$B$5:$B$80,MATCH(1,INDEX(ISNUMBER(SEARCH(Aliases!$A$5:$A$80,E1629))*(Aliases!$A$5:$A$80&lt;&gt;""),0),0)),"UNMATCHED"))</f>
        <v/>
      </c>
      <c r="M1629" s="16"/>
      <c r="N1629" s="16"/>
    </row>
    <row r="1630" spans="1:14" x14ac:dyDescent="0.3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6"/>
      <c r="L1630" s="15" t="str">
        <f>IF(E1630="","",IFERROR(INDEX(Aliases!$B$5:$B$80,MATCH(1,INDEX(ISNUMBER(SEARCH(Aliases!$A$5:$A$80,E1630))*(Aliases!$A$5:$A$80&lt;&gt;""),0),0)),"UNMATCHED"))</f>
        <v/>
      </c>
      <c r="M1630" s="16"/>
      <c r="N1630" s="16"/>
    </row>
    <row r="1631" spans="1:14" x14ac:dyDescent="0.3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6"/>
      <c r="L1631" s="15" t="str">
        <f>IF(E1631="","",IFERROR(INDEX(Aliases!$B$5:$B$80,MATCH(1,INDEX(ISNUMBER(SEARCH(Aliases!$A$5:$A$80,E1631))*(Aliases!$A$5:$A$80&lt;&gt;""),0),0)),"UNMATCHED"))</f>
        <v/>
      </c>
      <c r="M1631" s="16"/>
      <c r="N1631" s="16"/>
    </row>
    <row r="1632" spans="1:14" x14ac:dyDescent="0.3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6"/>
      <c r="L1632" s="15" t="str">
        <f>IF(E1632="","",IFERROR(INDEX(Aliases!$B$5:$B$80,MATCH(1,INDEX(ISNUMBER(SEARCH(Aliases!$A$5:$A$80,E1632))*(Aliases!$A$5:$A$80&lt;&gt;""),0),0)),"UNMATCHED"))</f>
        <v/>
      </c>
      <c r="M1632" s="16"/>
      <c r="N1632" s="16"/>
    </row>
    <row r="1633" spans="1:14" x14ac:dyDescent="0.3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6"/>
      <c r="L1633" s="15" t="str">
        <f>IF(E1633="","",IFERROR(INDEX(Aliases!$B$5:$B$80,MATCH(1,INDEX(ISNUMBER(SEARCH(Aliases!$A$5:$A$80,E1633))*(Aliases!$A$5:$A$80&lt;&gt;""),0),0)),"UNMATCHED"))</f>
        <v/>
      </c>
      <c r="M1633" s="16"/>
      <c r="N1633" s="16"/>
    </row>
    <row r="1634" spans="1:14" x14ac:dyDescent="0.3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6"/>
      <c r="L1634" s="15" t="str">
        <f>IF(E1634="","",IFERROR(INDEX(Aliases!$B$5:$B$80,MATCH(1,INDEX(ISNUMBER(SEARCH(Aliases!$A$5:$A$80,E1634))*(Aliases!$A$5:$A$80&lt;&gt;""),0),0)),"UNMATCHED"))</f>
        <v/>
      </c>
      <c r="M1634" s="16"/>
      <c r="N1634" s="16"/>
    </row>
    <row r="1635" spans="1:14" x14ac:dyDescent="0.3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6"/>
      <c r="L1635" s="15" t="str">
        <f>IF(E1635="","",IFERROR(INDEX(Aliases!$B$5:$B$80,MATCH(1,INDEX(ISNUMBER(SEARCH(Aliases!$A$5:$A$80,E1635))*(Aliases!$A$5:$A$80&lt;&gt;""),0),0)),"UNMATCHED"))</f>
        <v/>
      </c>
      <c r="M1635" s="16"/>
      <c r="N1635" s="16"/>
    </row>
    <row r="1636" spans="1:14" x14ac:dyDescent="0.3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6"/>
      <c r="L1636" s="15" t="str">
        <f>IF(E1636="","",IFERROR(INDEX(Aliases!$B$5:$B$80,MATCH(1,INDEX(ISNUMBER(SEARCH(Aliases!$A$5:$A$80,E1636))*(Aliases!$A$5:$A$80&lt;&gt;""),0),0)),"UNMATCHED"))</f>
        <v/>
      </c>
      <c r="M1636" s="16"/>
      <c r="N1636" s="16"/>
    </row>
    <row r="1637" spans="1:14" x14ac:dyDescent="0.3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6"/>
      <c r="L1637" s="15" t="str">
        <f>IF(E1637="","",IFERROR(INDEX(Aliases!$B$5:$B$80,MATCH(1,INDEX(ISNUMBER(SEARCH(Aliases!$A$5:$A$80,E1637))*(Aliases!$A$5:$A$80&lt;&gt;""),0),0)),"UNMATCHED"))</f>
        <v/>
      </c>
      <c r="M1637" s="16"/>
      <c r="N1637" s="16"/>
    </row>
    <row r="1638" spans="1:14" x14ac:dyDescent="0.3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6"/>
      <c r="L1638" s="15" t="str">
        <f>IF(E1638="","",IFERROR(INDEX(Aliases!$B$5:$B$80,MATCH(1,INDEX(ISNUMBER(SEARCH(Aliases!$A$5:$A$80,E1638))*(Aliases!$A$5:$A$80&lt;&gt;""),0),0)),"UNMATCHED"))</f>
        <v/>
      </c>
      <c r="M1638" s="16"/>
      <c r="N1638" s="16"/>
    </row>
    <row r="1639" spans="1:14" x14ac:dyDescent="0.3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6"/>
      <c r="L1639" s="15" t="str">
        <f>IF(E1639="","",IFERROR(INDEX(Aliases!$B$5:$B$80,MATCH(1,INDEX(ISNUMBER(SEARCH(Aliases!$A$5:$A$80,E1639))*(Aliases!$A$5:$A$80&lt;&gt;""),0),0)),"UNMATCHED"))</f>
        <v/>
      </c>
      <c r="M1639" s="16"/>
      <c r="N1639" s="16"/>
    </row>
    <row r="1640" spans="1:14" x14ac:dyDescent="0.3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6"/>
      <c r="L1640" s="15" t="str">
        <f>IF(E1640="","",IFERROR(INDEX(Aliases!$B$5:$B$80,MATCH(1,INDEX(ISNUMBER(SEARCH(Aliases!$A$5:$A$80,E1640))*(Aliases!$A$5:$A$80&lt;&gt;""),0),0)),"UNMATCHED"))</f>
        <v/>
      </c>
      <c r="M1640" s="16"/>
      <c r="N1640" s="16"/>
    </row>
    <row r="1641" spans="1:14" x14ac:dyDescent="0.3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6"/>
      <c r="L1641" s="15" t="str">
        <f>IF(E1641="","",IFERROR(INDEX(Aliases!$B$5:$B$80,MATCH(1,INDEX(ISNUMBER(SEARCH(Aliases!$A$5:$A$80,E1641))*(Aliases!$A$5:$A$80&lt;&gt;""),0),0)),"UNMATCHED"))</f>
        <v/>
      </c>
      <c r="M1641" s="16"/>
      <c r="N1641" s="16"/>
    </row>
    <row r="1642" spans="1:14" x14ac:dyDescent="0.3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6"/>
      <c r="L1642" s="15" t="str">
        <f>IF(E1642="","",IFERROR(INDEX(Aliases!$B$5:$B$80,MATCH(1,INDEX(ISNUMBER(SEARCH(Aliases!$A$5:$A$80,E1642))*(Aliases!$A$5:$A$80&lt;&gt;""),0),0)),"UNMATCHED"))</f>
        <v/>
      </c>
      <c r="M1642" s="16"/>
      <c r="N1642" s="16"/>
    </row>
    <row r="1643" spans="1:14" x14ac:dyDescent="0.3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6"/>
      <c r="L1643" s="15" t="str">
        <f>IF(E1643="","",IFERROR(INDEX(Aliases!$B$5:$B$80,MATCH(1,INDEX(ISNUMBER(SEARCH(Aliases!$A$5:$A$80,E1643))*(Aliases!$A$5:$A$80&lt;&gt;""),0),0)),"UNMATCHED"))</f>
        <v/>
      </c>
      <c r="M1643" s="16"/>
      <c r="N1643" s="16"/>
    </row>
    <row r="1644" spans="1:14" x14ac:dyDescent="0.3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6"/>
      <c r="L1644" s="15" t="str">
        <f>IF(E1644="","",IFERROR(INDEX(Aliases!$B$5:$B$80,MATCH(1,INDEX(ISNUMBER(SEARCH(Aliases!$A$5:$A$80,E1644))*(Aliases!$A$5:$A$80&lt;&gt;""),0),0)),"UNMATCHED"))</f>
        <v/>
      </c>
      <c r="M1644" s="16"/>
      <c r="N1644" s="16"/>
    </row>
    <row r="1645" spans="1:14" x14ac:dyDescent="0.3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6"/>
      <c r="L1645" s="15" t="str">
        <f>IF(E1645="","",IFERROR(INDEX(Aliases!$B$5:$B$80,MATCH(1,INDEX(ISNUMBER(SEARCH(Aliases!$A$5:$A$80,E1645))*(Aliases!$A$5:$A$80&lt;&gt;""),0),0)),"UNMATCHED"))</f>
        <v/>
      </c>
      <c r="M1645" s="16"/>
      <c r="N1645" s="16"/>
    </row>
    <row r="1646" spans="1:14" x14ac:dyDescent="0.3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6"/>
      <c r="L1646" s="15" t="str">
        <f>IF(E1646="","",IFERROR(INDEX(Aliases!$B$5:$B$80,MATCH(1,INDEX(ISNUMBER(SEARCH(Aliases!$A$5:$A$80,E1646))*(Aliases!$A$5:$A$80&lt;&gt;""),0),0)),"UNMATCHED"))</f>
        <v/>
      </c>
      <c r="M1646" s="16"/>
      <c r="N1646" s="16"/>
    </row>
    <row r="1647" spans="1:14" x14ac:dyDescent="0.3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6"/>
      <c r="L1647" s="15" t="str">
        <f>IF(E1647="","",IFERROR(INDEX(Aliases!$B$5:$B$80,MATCH(1,INDEX(ISNUMBER(SEARCH(Aliases!$A$5:$A$80,E1647))*(Aliases!$A$5:$A$80&lt;&gt;""),0),0)),"UNMATCHED"))</f>
        <v/>
      </c>
      <c r="M1647" s="16"/>
      <c r="N1647" s="16"/>
    </row>
    <row r="1648" spans="1:14" x14ac:dyDescent="0.3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6"/>
      <c r="L1648" s="15" t="str">
        <f>IF(E1648="","",IFERROR(INDEX(Aliases!$B$5:$B$80,MATCH(1,INDEX(ISNUMBER(SEARCH(Aliases!$A$5:$A$80,E1648))*(Aliases!$A$5:$A$80&lt;&gt;""),0),0)),"UNMATCHED"))</f>
        <v/>
      </c>
      <c r="M1648" s="16"/>
      <c r="N1648" s="16"/>
    </row>
    <row r="1649" spans="1:14" x14ac:dyDescent="0.3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6"/>
      <c r="L1649" s="15" t="str">
        <f>IF(E1649="","",IFERROR(INDEX(Aliases!$B$5:$B$80,MATCH(1,INDEX(ISNUMBER(SEARCH(Aliases!$A$5:$A$80,E1649))*(Aliases!$A$5:$A$80&lt;&gt;""),0),0)),"UNMATCHED"))</f>
        <v/>
      </c>
      <c r="M1649" s="16"/>
      <c r="N1649" s="16"/>
    </row>
    <row r="1650" spans="1:14" x14ac:dyDescent="0.3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6"/>
      <c r="L1650" s="15" t="str">
        <f>IF(E1650="","",IFERROR(INDEX(Aliases!$B$5:$B$80,MATCH(1,INDEX(ISNUMBER(SEARCH(Aliases!$A$5:$A$80,E1650))*(Aliases!$A$5:$A$80&lt;&gt;""),0),0)),"UNMATCHED"))</f>
        <v/>
      </c>
      <c r="M1650" s="16"/>
      <c r="N1650" s="16"/>
    </row>
    <row r="1651" spans="1:14" x14ac:dyDescent="0.3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6"/>
      <c r="L1651" s="15" t="str">
        <f>IF(E1651="","",IFERROR(INDEX(Aliases!$B$5:$B$80,MATCH(1,INDEX(ISNUMBER(SEARCH(Aliases!$A$5:$A$80,E1651))*(Aliases!$A$5:$A$80&lt;&gt;""),0),0)),"UNMATCHED"))</f>
        <v/>
      </c>
      <c r="M1651" s="16"/>
      <c r="N1651" s="16"/>
    </row>
    <row r="1652" spans="1:14" x14ac:dyDescent="0.3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6"/>
      <c r="L1652" s="15" t="str">
        <f>IF(E1652="","",IFERROR(INDEX(Aliases!$B$5:$B$80,MATCH(1,INDEX(ISNUMBER(SEARCH(Aliases!$A$5:$A$80,E1652))*(Aliases!$A$5:$A$80&lt;&gt;""),0),0)),"UNMATCHED"))</f>
        <v/>
      </c>
      <c r="M1652" s="16"/>
      <c r="N1652" s="16"/>
    </row>
    <row r="1653" spans="1:14" x14ac:dyDescent="0.3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6"/>
      <c r="L1653" s="15" t="str">
        <f>IF(E1653="","",IFERROR(INDEX(Aliases!$B$5:$B$80,MATCH(1,INDEX(ISNUMBER(SEARCH(Aliases!$A$5:$A$80,E1653))*(Aliases!$A$5:$A$80&lt;&gt;""),0),0)),"UNMATCHED"))</f>
        <v/>
      </c>
      <c r="M1653" s="16"/>
      <c r="N1653" s="16"/>
    </row>
    <row r="1654" spans="1:14" x14ac:dyDescent="0.3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6"/>
      <c r="L1654" s="15" t="str">
        <f>IF(E1654="","",IFERROR(INDEX(Aliases!$B$5:$B$80,MATCH(1,INDEX(ISNUMBER(SEARCH(Aliases!$A$5:$A$80,E1654))*(Aliases!$A$5:$A$80&lt;&gt;""),0),0)),"UNMATCHED"))</f>
        <v/>
      </c>
      <c r="M1654" s="16"/>
      <c r="N1654" s="16"/>
    </row>
    <row r="1655" spans="1:14" x14ac:dyDescent="0.3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6"/>
      <c r="L1655" s="15" t="str">
        <f>IF(E1655="","",IFERROR(INDEX(Aliases!$B$5:$B$80,MATCH(1,INDEX(ISNUMBER(SEARCH(Aliases!$A$5:$A$80,E1655))*(Aliases!$A$5:$A$80&lt;&gt;""),0),0)),"UNMATCHED"))</f>
        <v/>
      </c>
      <c r="M1655" s="16"/>
      <c r="N1655" s="16"/>
    </row>
    <row r="1656" spans="1:14" x14ac:dyDescent="0.3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6"/>
      <c r="L1656" s="15" t="str">
        <f>IF(E1656="","",IFERROR(INDEX(Aliases!$B$5:$B$80,MATCH(1,INDEX(ISNUMBER(SEARCH(Aliases!$A$5:$A$80,E1656))*(Aliases!$A$5:$A$80&lt;&gt;""),0),0)),"UNMATCHED"))</f>
        <v/>
      </c>
      <c r="M1656" s="16"/>
      <c r="N1656" s="16"/>
    </row>
    <row r="1657" spans="1:14" x14ac:dyDescent="0.3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6"/>
      <c r="L1657" s="15" t="str">
        <f>IF(E1657="","",IFERROR(INDEX(Aliases!$B$5:$B$80,MATCH(1,INDEX(ISNUMBER(SEARCH(Aliases!$A$5:$A$80,E1657))*(Aliases!$A$5:$A$80&lt;&gt;""),0),0)),"UNMATCHED"))</f>
        <v/>
      </c>
      <c r="M1657" s="16"/>
      <c r="N1657" s="16"/>
    </row>
    <row r="1658" spans="1:14" x14ac:dyDescent="0.3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6"/>
      <c r="L1658" s="15" t="str">
        <f>IF(E1658="","",IFERROR(INDEX(Aliases!$B$5:$B$80,MATCH(1,INDEX(ISNUMBER(SEARCH(Aliases!$A$5:$A$80,E1658))*(Aliases!$A$5:$A$80&lt;&gt;""),0),0)),"UNMATCHED"))</f>
        <v/>
      </c>
      <c r="M1658" s="16"/>
      <c r="N1658" s="16"/>
    </row>
    <row r="1659" spans="1:14" x14ac:dyDescent="0.3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6"/>
      <c r="L1659" s="15" t="str">
        <f>IF(E1659="","",IFERROR(INDEX(Aliases!$B$5:$B$80,MATCH(1,INDEX(ISNUMBER(SEARCH(Aliases!$A$5:$A$80,E1659))*(Aliases!$A$5:$A$80&lt;&gt;""),0),0)),"UNMATCHED"))</f>
        <v/>
      </c>
      <c r="M1659" s="16"/>
      <c r="N1659" s="16"/>
    </row>
    <row r="1660" spans="1:14" x14ac:dyDescent="0.3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6"/>
      <c r="L1660" s="15" t="str">
        <f>IF(E1660="","",IFERROR(INDEX(Aliases!$B$5:$B$80,MATCH(1,INDEX(ISNUMBER(SEARCH(Aliases!$A$5:$A$80,E1660))*(Aliases!$A$5:$A$80&lt;&gt;""),0),0)),"UNMATCHED"))</f>
        <v/>
      </c>
      <c r="M1660" s="16"/>
      <c r="N1660" s="16"/>
    </row>
    <row r="1661" spans="1:14" x14ac:dyDescent="0.3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6"/>
      <c r="L1661" s="15" t="str">
        <f>IF(E1661="","",IFERROR(INDEX(Aliases!$B$5:$B$80,MATCH(1,INDEX(ISNUMBER(SEARCH(Aliases!$A$5:$A$80,E1661))*(Aliases!$A$5:$A$80&lt;&gt;""),0),0)),"UNMATCHED"))</f>
        <v/>
      </c>
      <c r="M1661" s="16"/>
      <c r="N1661" s="16"/>
    </row>
    <row r="1662" spans="1:14" x14ac:dyDescent="0.3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6"/>
      <c r="L1662" s="15" t="str">
        <f>IF(E1662="","",IFERROR(INDEX(Aliases!$B$5:$B$80,MATCH(1,INDEX(ISNUMBER(SEARCH(Aliases!$A$5:$A$80,E1662))*(Aliases!$A$5:$A$80&lt;&gt;""),0),0)),"UNMATCHED"))</f>
        <v/>
      </c>
      <c r="M1662" s="16"/>
      <c r="N1662" s="16"/>
    </row>
    <row r="1663" spans="1:14" x14ac:dyDescent="0.3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6"/>
      <c r="L1663" s="15" t="str">
        <f>IF(E1663="","",IFERROR(INDEX(Aliases!$B$5:$B$80,MATCH(1,INDEX(ISNUMBER(SEARCH(Aliases!$A$5:$A$80,E1663))*(Aliases!$A$5:$A$80&lt;&gt;""),0),0)),"UNMATCHED"))</f>
        <v/>
      </c>
      <c r="M1663" s="16"/>
      <c r="N1663" s="16"/>
    </row>
    <row r="1664" spans="1:14" x14ac:dyDescent="0.3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6"/>
      <c r="L1664" s="15" t="str">
        <f>IF(E1664="","",IFERROR(INDEX(Aliases!$B$5:$B$80,MATCH(1,INDEX(ISNUMBER(SEARCH(Aliases!$A$5:$A$80,E1664))*(Aliases!$A$5:$A$80&lt;&gt;""),0),0)),"UNMATCHED"))</f>
        <v/>
      </c>
      <c r="M1664" s="16"/>
      <c r="N1664" s="16"/>
    </row>
    <row r="1665" spans="1:14" x14ac:dyDescent="0.3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6"/>
      <c r="L1665" s="15" t="str">
        <f>IF(E1665="","",IFERROR(INDEX(Aliases!$B$5:$B$80,MATCH(1,INDEX(ISNUMBER(SEARCH(Aliases!$A$5:$A$80,E1665))*(Aliases!$A$5:$A$80&lt;&gt;""),0),0)),"UNMATCHED"))</f>
        <v/>
      </c>
      <c r="M1665" s="16"/>
      <c r="N1665" s="16"/>
    </row>
    <row r="1666" spans="1:14" x14ac:dyDescent="0.3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6"/>
      <c r="L1666" s="15" t="str">
        <f>IF(E1666="","",IFERROR(INDEX(Aliases!$B$5:$B$80,MATCH(1,INDEX(ISNUMBER(SEARCH(Aliases!$A$5:$A$80,E1666))*(Aliases!$A$5:$A$80&lt;&gt;""),0),0)),"UNMATCHED"))</f>
        <v/>
      </c>
      <c r="M1666" s="16"/>
      <c r="N1666" s="16"/>
    </row>
    <row r="1667" spans="1:14" x14ac:dyDescent="0.3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6"/>
      <c r="L1667" s="15" t="str">
        <f>IF(E1667="","",IFERROR(INDEX(Aliases!$B$5:$B$80,MATCH(1,INDEX(ISNUMBER(SEARCH(Aliases!$A$5:$A$80,E1667))*(Aliases!$A$5:$A$80&lt;&gt;""),0),0)),"UNMATCHED"))</f>
        <v/>
      </c>
      <c r="M1667" s="16"/>
      <c r="N1667" s="16"/>
    </row>
    <row r="1668" spans="1:14" x14ac:dyDescent="0.3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6"/>
      <c r="L1668" s="15" t="str">
        <f>IF(E1668="","",IFERROR(INDEX(Aliases!$B$5:$B$80,MATCH(1,INDEX(ISNUMBER(SEARCH(Aliases!$A$5:$A$80,E1668))*(Aliases!$A$5:$A$80&lt;&gt;""),0),0)),"UNMATCHED"))</f>
        <v/>
      </c>
      <c r="M1668" s="16"/>
      <c r="N1668" s="16"/>
    </row>
    <row r="1669" spans="1:14" x14ac:dyDescent="0.3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6"/>
      <c r="L1669" s="15" t="str">
        <f>IF(E1669="","",IFERROR(INDEX(Aliases!$B$5:$B$80,MATCH(1,INDEX(ISNUMBER(SEARCH(Aliases!$A$5:$A$80,E1669))*(Aliases!$A$5:$A$80&lt;&gt;""),0),0)),"UNMATCHED"))</f>
        <v/>
      </c>
      <c r="M1669" s="16"/>
      <c r="N1669" s="16"/>
    </row>
    <row r="1670" spans="1:14" x14ac:dyDescent="0.3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6"/>
      <c r="L1670" s="15" t="str">
        <f>IF(E1670="","",IFERROR(INDEX(Aliases!$B$5:$B$80,MATCH(1,INDEX(ISNUMBER(SEARCH(Aliases!$A$5:$A$80,E1670))*(Aliases!$A$5:$A$80&lt;&gt;""),0),0)),"UNMATCHED"))</f>
        <v/>
      </c>
      <c r="M1670" s="16"/>
      <c r="N1670" s="16"/>
    </row>
    <row r="1671" spans="1:14" x14ac:dyDescent="0.3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6"/>
      <c r="L1671" s="15" t="str">
        <f>IF(E1671="","",IFERROR(INDEX(Aliases!$B$5:$B$80,MATCH(1,INDEX(ISNUMBER(SEARCH(Aliases!$A$5:$A$80,E1671))*(Aliases!$A$5:$A$80&lt;&gt;""),0),0)),"UNMATCHED"))</f>
        <v/>
      </c>
      <c r="M1671" s="16"/>
      <c r="N1671" s="16"/>
    </row>
    <row r="1672" spans="1:14" x14ac:dyDescent="0.3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6"/>
      <c r="L1672" s="15" t="str">
        <f>IF(E1672="","",IFERROR(INDEX(Aliases!$B$5:$B$80,MATCH(1,INDEX(ISNUMBER(SEARCH(Aliases!$A$5:$A$80,E1672))*(Aliases!$A$5:$A$80&lt;&gt;""),0),0)),"UNMATCHED"))</f>
        <v/>
      </c>
      <c r="M1672" s="16"/>
      <c r="N1672" s="16"/>
    </row>
    <row r="1673" spans="1:14" x14ac:dyDescent="0.3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6"/>
      <c r="L1673" s="15" t="str">
        <f>IF(E1673="","",IFERROR(INDEX(Aliases!$B$5:$B$80,MATCH(1,INDEX(ISNUMBER(SEARCH(Aliases!$A$5:$A$80,E1673))*(Aliases!$A$5:$A$80&lt;&gt;""),0),0)),"UNMATCHED"))</f>
        <v/>
      </c>
      <c r="M1673" s="16"/>
      <c r="N1673" s="16"/>
    </row>
    <row r="1674" spans="1:14" x14ac:dyDescent="0.3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6"/>
      <c r="L1674" s="15" t="str">
        <f>IF(E1674="","",IFERROR(INDEX(Aliases!$B$5:$B$80,MATCH(1,INDEX(ISNUMBER(SEARCH(Aliases!$A$5:$A$80,E1674))*(Aliases!$A$5:$A$80&lt;&gt;""),0),0)),"UNMATCHED"))</f>
        <v/>
      </c>
      <c r="M1674" s="16"/>
      <c r="N1674" s="16"/>
    </row>
    <row r="1675" spans="1:14" x14ac:dyDescent="0.3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6"/>
      <c r="L1675" s="15" t="str">
        <f>IF(E1675="","",IFERROR(INDEX(Aliases!$B$5:$B$80,MATCH(1,INDEX(ISNUMBER(SEARCH(Aliases!$A$5:$A$80,E1675))*(Aliases!$A$5:$A$80&lt;&gt;""),0),0)),"UNMATCHED"))</f>
        <v/>
      </c>
      <c r="M1675" s="16"/>
      <c r="N1675" s="16"/>
    </row>
    <row r="1676" spans="1:14" x14ac:dyDescent="0.3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6"/>
      <c r="L1676" s="15" t="str">
        <f>IF(E1676="","",IFERROR(INDEX(Aliases!$B$5:$B$80,MATCH(1,INDEX(ISNUMBER(SEARCH(Aliases!$A$5:$A$80,E1676))*(Aliases!$A$5:$A$80&lt;&gt;""),0),0)),"UNMATCHED"))</f>
        <v/>
      </c>
      <c r="M1676" s="16"/>
      <c r="N1676" s="16"/>
    </row>
    <row r="1677" spans="1:14" x14ac:dyDescent="0.3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6"/>
      <c r="L1677" s="15" t="str">
        <f>IF(E1677="","",IFERROR(INDEX(Aliases!$B$5:$B$80,MATCH(1,INDEX(ISNUMBER(SEARCH(Aliases!$A$5:$A$80,E1677))*(Aliases!$A$5:$A$80&lt;&gt;""),0),0)),"UNMATCHED"))</f>
        <v/>
      </c>
      <c r="M1677" s="16"/>
      <c r="N1677" s="16"/>
    </row>
    <row r="1678" spans="1:14" x14ac:dyDescent="0.3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6"/>
      <c r="L1678" s="15" t="str">
        <f>IF(E1678="","",IFERROR(INDEX(Aliases!$B$5:$B$80,MATCH(1,INDEX(ISNUMBER(SEARCH(Aliases!$A$5:$A$80,E1678))*(Aliases!$A$5:$A$80&lt;&gt;""),0),0)),"UNMATCHED"))</f>
        <v/>
      </c>
      <c r="M1678" s="16"/>
      <c r="N1678" s="16"/>
    </row>
    <row r="1679" spans="1:14" x14ac:dyDescent="0.3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6"/>
      <c r="L1679" s="15" t="str">
        <f>IF(E1679="","",IFERROR(INDEX(Aliases!$B$5:$B$80,MATCH(1,INDEX(ISNUMBER(SEARCH(Aliases!$A$5:$A$80,E1679))*(Aliases!$A$5:$A$80&lt;&gt;""),0),0)),"UNMATCHED"))</f>
        <v/>
      </c>
      <c r="M1679" s="16"/>
      <c r="N1679" s="16"/>
    </row>
    <row r="1680" spans="1:14" x14ac:dyDescent="0.3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6"/>
      <c r="L1680" s="15" t="str">
        <f>IF(E1680="","",IFERROR(INDEX(Aliases!$B$5:$B$80,MATCH(1,INDEX(ISNUMBER(SEARCH(Aliases!$A$5:$A$80,E1680))*(Aliases!$A$5:$A$80&lt;&gt;""),0),0)),"UNMATCHED"))</f>
        <v/>
      </c>
      <c r="M1680" s="16"/>
      <c r="N1680" s="16"/>
    </row>
    <row r="1681" spans="1:14" x14ac:dyDescent="0.3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6"/>
      <c r="L1681" s="15" t="str">
        <f>IF(E1681="","",IFERROR(INDEX(Aliases!$B$5:$B$80,MATCH(1,INDEX(ISNUMBER(SEARCH(Aliases!$A$5:$A$80,E1681))*(Aliases!$A$5:$A$80&lt;&gt;""),0),0)),"UNMATCHED"))</f>
        <v/>
      </c>
      <c r="M1681" s="16"/>
      <c r="N1681" s="16"/>
    </row>
    <row r="1682" spans="1:14" x14ac:dyDescent="0.3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6"/>
      <c r="L1682" s="15" t="str">
        <f>IF(E1682="","",IFERROR(INDEX(Aliases!$B$5:$B$80,MATCH(1,INDEX(ISNUMBER(SEARCH(Aliases!$A$5:$A$80,E1682))*(Aliases!$A$5:$A$80&lt;&gt;""),0),0)),"UNMATCHED"))</f>
        <v/>
      </c>
      <c r="M1682" s="16"/>
      <c r="N1682" s="16"/>
    </row>
    <row r="1683" spans="1:14" x14ac:dyDescent="0.3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6"/>
      <c r="L1683" s="15" t="str">
        <f>IF(E1683="","",IFERROR(INDEX(Aliases!$B$5:$B$80,MATCH(1,INDEX(ISNUMBER(SEARCH(Aliases!$A$5:$A$80,E1683))*(Aliases!$A$5:$A$80&lt;&gt;""),0),0)),"UNMATCHED"))</f>
        <v/>
      </c>
      <c r="M1683" s="16"/>
      <c r="N1683" s="16"/>
    </row>
    <row r="1684" spans="1:14" x14ac:dyDescent="0.3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6"/>
      <c r="L1684" s="15" t="str">
        <f>IF(E1684="","",IFERROR(INDEX(Aliases!$B$5:$B$80,MATCH(1,INDEX(ISNUMBER(SEARCH(Aliases!$A$5:$A$80,E1684))*(Aliases!$A$5:$A$80&lt;&gt;""),0),0)),"UNMATCHED"))</f>
        <v/>
      </c>
      <c r="M1684" s="16"/>
      <c r="N1684" s="16"/>
    </row>
    <row r="1685" spans="1:14" x14ac:dyDescent="0.3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6"/>
      <c r="L1685" s="15" t="str">
        <f>IF(E1685="","",IFERROR(INDEX(Aliases!$B$5:$B$80,MATCH(1,INDEX(ISNUMBER(SEARCH(Aliases!$A$5:$A$80,E1685))*(Aliases!$A$5:$A$80&lt;&gt;""),0),0)),"UNMATCHED"))</f>
        <v/>
      </c>
      <c r="M1685" s="16"/>
      <c r="N1685" s="16"/>
    </row>
    <row r="1686" spans="1:14" x14ac:dyDescent="0.3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6"/>
      <c r="L1686" s="15" t="str">
        <f>IF(E1686="","",IFERROR(INDEX(Aliases!$B$5:$B$80,MATCH(1,INDEX(ISNUMBER(SEARCH(Aliases!$A$5:$A$80,E1686))*(Aliases!$A$5:$A$80&lt;&gt;""),0),0)),"UNMATCHED"))</f>
        <v/>
      </c>
      <c r="M1686" s="16"/>
      <c r="N1686" s="16"/>
    </row>
    <row r="1687" spans="1:14" x14ac:dyDescent="0.3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6"/>
      <c r="L1687" s="15" t="str">
        <f>IF(E1687="","",IFERROR(INDEX(Aliases!$B$5:$B$80,MATCH(1,INDEX(ISNUMBER(SEARCH(Aliases!$A$5:$A$80,E1687))*(Aliases!$A$5:$A$80&lt;&gt;""),0),0)),"UNMATCHED"))</f>
        <v/>
      </c>
      <c r="M1687" s="16"/>
      <c r="N1687" s="16"/>
    </row>
    <row r="1688" spans="1:14" x14ac:dyDescent="0.3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6"/>
      <c r="L1688" s="15" t="str">
        <f>IF(E1688="","",IFERROR(INDEX(Aliases!$B$5:$B$80,MATCH(1,INDEX(ISNUMBER(SEARCH(Aliases!$A$5:$A$80,E1688))*(Aliases!$A$5:$A$80&lt;&gt;""),0),0)),"UNMATCHED"))</f>
        <v/>
      </c>
      <c r="M1688" s="16"/>
      <c r="N1688" s="16"/>
    </row>
    <row r="1689" spans="1:14" x14ac:dyDescent="0.3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6"/>
      <c r="L1689" s="15" t="str">
        <f>IF(E1689="","",IFERROR(INDEX(Aliases!$B$5:$B$80,MATCH(1,INDEX(ISNUMBER(SEARCH(Aliases!$A$5:$A$80,E1689))*(Aliases!$A$5:$A$80&lt;&gt;""),0),0)),"UNMATCHED"))</f>
        <v/>
      </c>
      <c r="M1689" s="16"/>
      <c r="N1689" s="16"/>
    </row>
    <row r="1690" spans="1:14" x14ac:dyDescent="0.3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6"/>
      <c r="L1690" s="15" t="str">
        <f>IF(E1690="","",IFERROR(INDEX(Aliases!$B$5:$B$80,MATCH(1,INDEX(ISNUMBER(SEARCH(Aliases!$A$5:$A$80,E1690))*(Aliases!$A$5:$A$80&lt;&gt;""),0),0)),"UNMATCHED"))</f>
        <v/>
      </c>
      <c r="M1690" s="16"/>
      <c r="N1690" s="16"/>
    </row>
    <row r="1691" spans="1:14" x14ac:dyDescent="0.3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6"/>
      <c r="L1691" s="15" t="str">
        <f>IF(E1691="","",IFERROR(INDEX(Aliases!$B$5:$B$80,MATCH(1,INDEX(ISNUMBER(SEARCH(Aliases!$A$5:$A$80,E1691))*(Aliases!$A$5:$A$80&lt;&gt;""),0),0)),"UNMATCHED"))</f>
        <v/>
      </c>
      <c r="M1691" s="16"/>
      <c r="N1691" s="16"/>
    </row>
    <row r="1692" spans="1:14" x14ac:dyDescent="0.3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6"/>
      <c r="L1692" s="15" t="str">
        <f>IF(E1692="","",IFERROR(INDEX(Aliases!$B$5:$B$80,MATCH(1,INDEX(ISNUMBER(SEARCH(Aliases!$A$5:$A$80,E1692))*(Aliases!$A$5:$A$80&lt;&gt;""),0),0)),"UNMATCHED"))</f>
        <v/>
      </c>
      <c r="M1692" s="16"/>
      <c r="N1692" s="16"/>
    </row>
    <row r="1693" spans="1:14" x14ac:dyDescent="0.3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6"/>
      <c r="L1693" s="15" t="str">
        <f>IF(E1693="","",IFERROR(INDEX(Aliases!$B$5:$B$80,MATCH(1,INDEX(ISNUMBER(SEARCH(Aliases!$A$5:$A$80,E1693))*(Aliases!$A$5:$A$80&lt;&gt;""),0),0)),"UNMATCHED"))</f>
        <v/>
      </c>
      <c r="M1693" s="16"/>
      <c r="N1693" s="16"/>
    </row>
    <row r="1694" spans="1:14" x14ac:dyDescent="0.3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6"/>
      <c r="L1694" s="15" t="str">
        <f>IF(E1694="","",IFERROR(INDEX(Aliases!$B$5:$B$80,MATCH(1,INDEX(ISNUMBER(SEARCH(Aliases!$A$5:$A$80,E1694))*(Aliases!$A$5:$A$80&lt;&gt;""),0),0)),"UNMATCHED"))</f>
        <v/>
      </c>
      <c r="M1694" s="16"/>
      <c r="N1694" s="16"/>
    </row>
    <row r="1695" spans="1:14" x14ac:dyDescent="0.3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6"/>
      <c r="L1695" s="15" t="str">
        <f>IF(E1695="","",IFERROR(INDEX(Aliases!$B$5:$B$80,MATCH(1,INDEX(ISNUMBER(SEARCH(Aliases!$A$5:$A$80,E1695))*(Aliases!$A$5:$A$80&lt;&gt;""),0),0)),"UNMATCHED"))</f>
        <v/>
      </c>
      <c r="M1695" s="16"/>
      <c r="N1695" s="16"/>
    </row>
    <row r="1696" spans="1:14" x14ac:dyDescent="0.3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6"/>
      <c r="L1696" s="15" t="str">
        <f>IF(E1696="","",IFERROR(INDEX(Aliases!$B$5:$B$80,MATCH(1,INDEX(ISNUMBER(SEARCH(Aliases!$A$5:$A$80,E1696))*(Aliases!$A$5:$A$80&lt;&gt;""),0),0)),"UNMATCHED"))</f>
        <v/>
      </c>
      <c r="M1696" s="16"/>
      <c r="N1696" s="16"/>
    </row>
    <row r="1697" spans="1:14" x14ac:dyDescent="0.3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6"/>
      <c r="L1697" s="15" t="str">
        <f>IF(E1697="","",IFERROR(INDEX(Aliases!$B$5:$B$80,MATCH(1,INDEX(ISNUMBER(SEARCH(Aliases!$A$5:$A$80,E1697))*(Aliases!$A$5:$A$80&lt;&gt;""),0),0)),"UNMATCHED"))</f>
        <v/>
      </c>
      <c r="M1697" s="16"/>
      <c r="N1697" s="16"/>
    </row>
    <row r="1698" spans="1:14" x14ac:dyDescent="0.3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6"/>
      <c r="L1698" s="15" t="str">
        <f>IF(E1698="","",IFERROR(INDEX(Aliases!$B$5:$B$80,MATCH(1,INDEX(ISNUMBER(SEARCH(Aliases!$A$5:$A$80,E1698))*(Aliases!$A$5:$A$80&lt;&gt;""),0),0)),"UNMATCHED"))</f>
        <v/>
      </c>
      <c r="M1698" s="16"/>
      <c r="N1698" s="16"/>
    </row>
    <row r="1699" spans="1:14" x14ac:dyDescent="0.3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6"/>
      <c r="L1699" s="15" t="str">
        <f>IF(E1699="","",IFERROR(INDEX(Aliases!$B$5:$B$80,MATCH(1,INDEX(ISNUMBER(SEARCH(Aliases!$A$5:$A$80,E1699))*(Aliases!$A$5:$A$80&lt;&gt;""),0),0)),"UNMATCHED"))</f>
        <v/>
      </c>
      <c r="M1699" s="16"/>
      <c r="N1699" s="16"/>
    </row>
    <row r="1700" spans="1:14" x14ac:dyDescent="0.3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6"/>
      <c r="L1700" s="15" t="str">
        <f>IF(E1700="","",IFERROR(INDEX(Aliases!$B$5:$B$80,MATCH(1,INDEX(ISNUMBER(SEARCH(Aliases!$A$5:$A$80,E1700))*(Aliases!$A$5:$A$80&lt;&gt;""),0),0)),"UNMATCHED"))</f>
        <v/>
      </c>
      <c r="M1700" s="16"/>
      <c r="N1700" s="16"/>
    </row>
    <row r="1701" spans="1:14" x14ac:dyDescent="0.3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6"/>
      <c r="L1701" s="15" t="str">
        <f>IF(E1701="","",IFERROR(INDEX(Aliases!$B$5:$B$80,MATCH(1,INDEX(ISNUMBER(SEARCH(Aliases!$A$5:$A$80,E1701))*(Aliases!$A$5:$A$80&lt;&gt;""),0),0)),"UNMATCHED"))</f>
        <v/>
      </c>
      <c r="M1701" s="16"/>
      <c r="N1701" s="16"/>
    </row>
    <row r="1702" spans="1:14" x14ac:dyDescent="0.3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6"/>
      <c r="L1702" s="15" t="str">
        <f>IF(E1702="","",IFERROR(INDEX(Aliases!$B$5:$B$80,MATCH(1,INDEX(ISNUMBER(SEARCH(Aliases!$A$5:$A$80,E1702))*(Aliases!$A$5:$A$80&lt;&gt;""),0),0)),"UNMATCHED"))</f>
        <v/>
      </c>
      <c r="M1702" s="16"/>
      <c r="N1702" s="16"/>
    </row>
    <row r="1703" spans="1:14" x14ac:dyDescent="0.3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6"/>
      <c r="L1703" s="15" t="str">
        <f>IF(E1703="","",IFERROR(INDEX(Aliases!$B$5:$B$80,MATCH(1,INDEX(ISNUMBER(SEARCH(Aliases!$A$5:$A$80,E1703))*(Aliases!$A$5:$A$80&lt;&gt;""),0),0)),"UNMATCHED"))</f>
        <v/>
      </c>
      <c r="M1703" s="16"/>
      <c r="N1703" s="16"/>
    </row>
    <row r="1704" spans="1:14" x14ac:dyDescent="0.3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6"/>
      <c r="L1704" s="15" t="str">
        <f>IF(E1704="","",IFERROR(INDEX(Aliases!$B$5:$B$80,MATCH(1,INDEX(ISNUMBER(SEARCH(Aliases!$A$5:$A$80,E1704))*(Aliases!$A$5:$A$80&lt;&gt;""),0),0)),"UNMATCHED"))</f>
        <v/>
      </c>
      <c r="M1704" s="16"/>
      <c r="N1704" s="16"/>
    </row>
    <row r="1705" spans="1:14" x14ac:dyDescent="0.3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6"/>
      <c r="L1705" s="15" t="str">
        <f>IF(E1705="","",IFERROR(INDEX(Aliases!$B$5:$B$80,MATCH(1,INDEX(ISNUMBER(SEARCH(Aliases!$A$5:$A$80,E1705))*(Aliases!$A$5:$A$80&lt;&gt;""),0),0)),"UNMATCHED"))</f>
        <v/>
      </c>
      <c r="M1705" s="16"/>
      <c r="N1705" s="16"/>
    </row>
    <row r="1706" spans="1:14" x14ac:dyDescent="0.3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6"/>
      <c r="L1706" s="15" t="str">
        <f>IF(E1706="","",IFERROR(INDEX(Aliases!$B$5:$B$80,MATCH(1,INDEX(ISNUMBER(SEARCH(Aliases!$A$5:$A$80,E1706))*(Aliases!$A$5:$A$80&lt;&gt;""),0),0)),"UNMATCHED"))</f>
        <v/>
      </c>
      <c r="M1706" s="16"/>
      <c r="N1706" s="16"/>
    </row>
    <row r="1707" spans="1:14" x14ac:dyDescent="0.3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6"/>
      <c r="L1707" s="15" t="str">
        <f>IF(E1707="","",IFERROR(INDEX(Aliases!$B$5:$B$80,MATCH(1,INDEX(ISNUMBER(SEARCH(Aliases!$A$5:$A$80,E1707))*(Aliases!$A$5:$A$80&lt;&gt;""),0),0)),"UNMATCHED"))</f>
        <v/>
      </c>
      <c r="M1707" s="16"/>
      <c r="N1707" s="16"/>
    </row>
    <row r="1708" spans="1:14" x14ac:dyDescent="0.3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6"/>
      <c r="L1708" s="15" t="str">
        <f>IF(E1708="","",IFERROR(INDEX(Aliases!$B$5:$B$80,MATCH(1,INDEX(ISNUMBER(SEARCH(Aliases!$A$5:$A$80,E1708))*(Aliases!$A$5:$A$80&lt;&gt;""),0),0)),"UNMATCHED"))</f>
        <v/>
      </c>
      <c r="M1708" s="16"/>
      <c r="N1708" s="16"/>
    </row>
    <row r="1709" spans="1:14" x14ac:dyDescent="0.3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6"/>
      <c r="L1709" s="15" t="str">
        <f>IF(E1709="","",IFERROR(INDEX(Aliases!$B$5:$B$80,MATCH(1,INDEX(ISNUMBER(SEARCH(Aliases!$A$5:$A$80,E1709))*(Aliases!$A$5:$A$80&lt;&gt;""),0),0)),"UNMATCHED"))</f>
        <v/>
      </c>
      <c r="M1709" s="16"/>
      <c r="N1709" s="16"/>
    </row>
    <row r="1710" spans="1:14" x14ac:dyDescent="0.3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6"/>
      <c r="L1710" s="15" t="str">
        <f>IF(E1710="","",IFERROR(INDEX(Aliases!$B$5:$B$80,MATCH(1,INDEX(ISNUMBER(SEARCH(Aliases!$A$5:$A$80,E1710))*(Aliases!$A$5:$A$80&lt;&gt;""),0),0)),"UNMATCHED"))</f>
        <v/>
      </c>
      <c r="M1710" s="16"/>
      <c r="N1710" s="16"/>
    </row>
    <row r="1711" spans="1:14" x14ac:dyDescent="0.3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6"/>
      <c r="L1711" s="15" t="str">
        <f>IF(E1711="","",IFERROR(INDEX(Aliases!$B$5:$B$80,MATCH(1,INDEX(ISNUMBER(SEARCH(Aliases!$A$5:$A$80,E1711))*(Aliases!$A$5:$A$80&lt;&gt;""),0),0)),"UNMATCHED"))</f>
        <v/>
      </c>
      <c r="M1711" s="16"/>
      <c r="N1711" s="16"/>
    </row>
    <row r="1712" spans="1:14" x14ac:dyDescent="0.3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6"/>
      <c r="L1712" s="15" t="str">
        <f>IF(E1712="","",IFERROR(INDEX(Aliases!$B$5:$B$80,MATCH(1,INDEX(ISNUMBER(SEARCH(Aliases!$A$5:$A$80,E1712))*(Aliases!$A$5:$A$80&lt;&gt;""),0),0)),"UNMATCHED"))</f>
        <v/>
      </c>
      <c r="M1712" s="16"/>
      <c r="N1712" s="16"/>
    </row>
    <row r="1713" spans="1:14" x14ac:dyDescent="0.3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6"/>
      <c r="L1713" s="15" t="str">
        <f>IF(E1713="","",IFERROR(INDEX(Aliases!$B$5:$B$80,MATCH(1,INDEX(ISNUMBER(SEARCH(Aliases!$A$5:$A$80,E1713))*(Aliases!$A$5:$A$80&lt;&gt;""),0),0)),"UNMATCHED"))</f>
        <v/>
      </c>
      <c r="M1713" s="16"/>
      <c r="N1713" s="16"/>
    </row>
    <row r="1714" spans="1:14" x14ac:dyDescent="0.3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6"/>
      <c r="L1714" s="15" t="str">
        <f>IF(E1714="","",IFERROR(INDEX(Aliases!$B$5:$B$80,MATCH(1,INDEX(ISNUMBER(SEARCH(Aliases!$A$5:$A$80,E1714))*(Aliases!$A$5:$A$80&lt;&gt;""),0),0)),"UNMATCHED"))</f>
        <v/>
      </c>
      <c r="M1714" s="16"/>
      <c r="N1714" s="16"/>
    </row>
    <row r="1715" spans="1:14" x14ac:dyDescent="0.3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6"/>
      <c r="L1715" s="15" t="str">
        <f>IF(E1715="","",IFERROR(INDEX(Aliases!$B$5:$B$80,MATCH(1,INDEX(ISNUMBER(SEARCH(Aliases!$A$5:$A$80,E1715))*(Aliases!$A$5:$A$80&lt;&gt;""),0),0)),"UNMATCHED"))</f>
        <v/>
      </c>
      <c r="M1715" s="16"/>
      <c r="N1715" s="16"/>
    </row>
    <row r="1716" spans="1:14" x14ac:dyDescent="0.3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6"/>
      <c r="L1716" s="15" t="str">
        <f>IF(E1716="","",IFERROR(INDEX(Aliases!$B$5:$B$80,MATCH(1,INDEX(ISNUMBER(SEARCH(Aliases!$A$5:$A$80,E1716))*(Aliases!$A$5:$A$80&lt;&gt;""),0),0)),"UNMATCHED"))</f>
        <v/>
      </c>
      <c r="M1716" s="16"/>
      <c r="N1716" s="16"/>
    </row>
    <row r="1717" spans="1:14" x14ac:dyDescent="0.3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6"/>
      <c r="L1717" s="15" t="str">
        <f>IF(E1717="","",IFERROR(INDEX(Aliases!$B$5:$B$80,MATCH(1,INDEX(ISNUMBER(SEARCH(Aliases!$A$5:$A$80,E1717))*(Aliases!$A$5:$A$80&lt;&gt;""),0),0)),"UNMATCHED"))</f>
        <v/>
      </c>
      <c r="M1717" s="16"/>
      <c r="N1717" s="16"/>
    </row>
    <row r="1718" spans="1:14" x14ac:dyDescent="0.3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6"/>
      <c r="L1718" s="15" t="str">
        <f>IF(E1718="","",IFERROR(INDEX(Aliases!$B$5:$B$80,MATCH(1,INDEX(ISNUMBER(SEARCH(Aliases!$A$5:$A$80,E1718))*(Aliases!$A$5:$A$80&lt;&gt;""),0),0)),"UNMATCHED"))</f>
        <v/>
      </c>
      <c r="M1718" s="16"/>
      <c r="N1718" s="16"/>
    </row>
    <row r="1719" spans="1:14" x14ac:dyDescent="0.3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6"/>
      <c r="L1719" s="15" t="str">
        <f>IF(E1719="","",IFERROR(INDEX(Aliases!$B$5:$B$80,MATCH(1,INDEX(ISNUMBER(SEARCH(Aliases!$A$5:$A$80,E1719))*(Aliases!$A$5:$A$80&lt;&gt;""),0),0)),"UNMATCHED"))</f>
        <v/>
      </c>
      <c r="M1719" s="16"/>
      <c r="N1719" s="16"/>
    </row>
    <row r="1720" spans="1:14" x14ac:dyDescent="0.3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6"/>
      <c r="L1720" s="15" t="str">
        <f>IF(E1720="","",IFERROR(INDEX(Aliases!$B$5:$B$80,MATCH(1,INDEX(ISNUMBER(SEARCH(Aliases!$A$5:$A$80,E1720))*(Aliases!$A$5:$A$80&lt;&gt;""),0),0)),"UNMATCHED"))</f>
        <v/>
      </c>
      <c r="M1720" s="16"/>
      <c r="N1720" s="16"/>
    </row>
    <row r="1721" spans="1:14" x14ac:dyDescent="0.3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6"/>
      <c r="L1721" s="15" t="str">
        <f>IF(E1721="","",IFERROR(INDEX(Aliases!$B$5:$B$80,MATCH(1,INDEX(ISNUMBER(SEARCH(Aliases!$A$5:$A$80,E1721))*(Aliases!$A$5:$A$80&lt;&gt;""),0),0)),"UNMATCHED"))</f>
        <v/>
      </c>
      <c r="M1721" s="16"/>
      <c r="N1721" s="16"/>
    </row>
    <row r="1722" spans="1:14" x14ac:dyDescent="0.3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6"/>
      <c r="L1722" s="15" t="str">
        <f>IF(E1722="","",IFERROR(INDEX(Aliases!$B$5:$B$80,MATCH(1,INDEX(ISNUMBER(SEARCH(Aliases!$A$5:$A$80,E1722))*(Aliases!$A$5:$A$80&lt;&gt;""),0),0)),"UNMATCHED"))</f>
        <v/>
      </c>
      <c r="M1722" s="16"/>
      <c r="N1722" s="16"/>
    </row>
    <row r="1723" spans="1:14" x14ac:dyDescent="0.3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6"/>
      <c r="L1723" s="15" t="str">
        <f>IF(E1723="","",IFERROR(INDEX(Aliases!$B$5:$B$80,MATCH(1,INDEX(ISNUMBER(SEARCH(Aliases!$A$5:$A$80,E1723))*(Aliases!$A$5:$A$80&lt;&gt;""),0),0)),"UNMATCHED"))</f>
        <v/>
      </c>
      <c r="M1723" s="16"/>
      <c r="N1723" s="16"/>
    </row>
    <row r="1724" spans="1:14" x14ac:dyDescent="0.3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6"/>
      <c r="L1724" s="15" t="str">
        <f>IF(E1724="","",IFERROR(INDEX(Aliases!$B$5:$B$80,MATCH(1,INDEX(ISNUMBER(SEARCH(Aliases!$A$5:$A$80,E1724))*(Aliases!$A$5:$A$80&lt;&gt;""),0),0)),"UNMATCHED"))</f>
        <v/>
      </c>
      <c r="M1724" s="16"/>
      <c r="N1724" s="16"/>
    </row>
    <row r="1725" spans="1:14" x14ac:dyDescent="0.3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6"/>
      <c r="L1725" s="15" t="str">
        <f>IF(E1725="","",IFERROR(INDEX(Aliases!$B$5:$B$80,MATCH(1,INDEX(ISNUMBER(SEARCH(Aliases!$A$5:$A$80,E1725))*(Aliases!$A$5:$A$80&lt;&gt;""),0),0)),"UNMATCHED"))</f>
        <v/>
      </c>
      <c r="M1725" s="16"/>
      <c r="N1725" s="16"/>
    </row>
    <row r="1726" spans="1:14" x14ac:dyDescent="0.3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6"/>
      <c r="L1726" s="15" t="str">
        <f>IF(E1726="","",IFERROR(INDEX(Aliases!$B$5:$B$80,MATCH(1,INDEX(ISNUMBER(SEARCH(Aliases!$A$5:$A$80,E1726))*(Aliases!$A$5:$A$80&lt;&gt;""),0),0)),"UNMATCHED"))</f>
        <v/>
      </c>
      <c r="M1726" s="16"/>
      <c r="N1726" s="16"/>
    </row>
    <row r="1727" spans="1:14" x14ac:dyDescent="0.3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6"/>
      <c r="L1727" s="15" t="str">
        <f>IF(E1727="","",IFERROR(INDEX(Aliases!$B$5:$B$80,MATCH(1,INDEX(ISNUMBER(SEARCH(Aliases!$A$5:$A$80,E1727))*(Aliases!$A$5:$A$80&lt;&gt;""),0),0)),"UNMATCHED"))</f>
        <v/>
      </c>
      <c r="M1727" s="16"/>
      <c r="N1727" s="16"/>
    </row>
    <row r="1728" spans="1:14" x14ac:dyDescent="0.3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6"/>
      <c r="L1728" s="15" t="str">
        <f>IF(E1728="","",IFERROR(INDEX(Aliases!$B$5:$B$80,MATCH(1,INDEX(ISNUMBER(SEARCH(Aliases!$A$5:$A$80,E1728))*(Aliases!$A$5:$A$80&lt;&gt;""),0),0)),"UNMATCHED"))</f>
        <v/>
      </c>
      <c r="M1728" s="16"/>
      <c r="N1728" s="16"/>
    </row>
    <row r="1729" spans="1:14" x14ac:dyDescent="0.3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6"/>
      <c r="L1729" s="15" t="str">
        <f>IF(E1729="","",IFERROR(INDEX(Aliases!$B$5:$B$80,MATCH(1,INDEX(ISNUMBER(SEARCH(Aliases!$A$5:$A$80,E1729))*(Aliases!$A$5:$A$80&lt;&gt;""),0),0)),"UNMATCHED"))</f>
        <v/>
      </c>
      <c r="M1729" s="16"/>
      <c r="N1729" s="16"/>
    </row>
    <row r="1730" spans="1:14" x14ac:dyDescent="0.3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6"/>
      <c r="L1730" s="15" t="str">
        <f>IF(E1730="","",IFERROR(INDEX(Aliases!$B$5:$B$80,MATCH(1,INDEX(ISNUMBER(SEARCH(Aliases!$A$5:$A$80,E1730))*(Aliases!$A$5:$A$80&lt;&gt;""),0),0)),"UNMATCHED"))</f>
        <v/>
      </c>
      <c r="M1730" s="16"/>
      <c r="N1730" s="16"/>
    </row>
    <row r="1731" spans="1:14" x14ac:dyDescent="0.3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6"/>
      <c r="L1731" s="15" t="str">
        <f>IF(E1731="","",IFERROR(INDEX(Aliases!$B$5:$B$80,MATCH(1,INDEX(ISNUMBER(SEARCH(Aliases!$A$5:$A$80,E1731))*(Aliases!$A$5:$A$80&lt;&gt;""),0),0)),"UNMATCHED"))</f>
        <v/>
      </c>
      <c r="M1731" s="16"/>
      <c r="N1731" s="16"/>
    </row>
    <row r="1732" spans="1:14" x14ac:dyDescent="0.3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6"/>
      <c r="L1732" s="15" t="str">
        <f>IF(E1732="","",IFERROR(INDEX(Aliases!$B$5:$B$80,MATCH(1,INDEX(ISNUMBER(SEARCH(Aliases!$A$5:$A$80,E1732))*(Aliases!$A$5:$A$80&lt;&gt;""),0),0)),"UNMATCHED"))</f>
        <v/>
      </c>
      <c r="M1732" s="16"/>
      <c r="N1732" s="16"/>
    </row>
    <row r="1733" spans="1:14" x14ac:dyDescent="0.3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6"/>
      <c r="L1733" s="15" t="str">
        <f>IF(E1733="","",IFERROR(INDEX(Aliases!$B$5:$B$80,MATCH(1,INDEX(ISNUMBER(SEARCH(Aliases!$A$5:$A$80,E1733))*(Aliases!$A$5:$A$80&lt;&gt;""),0),0)),"UNMATCHED"))</f>
        <v/>
      </c>
      <c r="M1733" s="16"/>
      <c r="N1733" s="16"/>
    </row>
    <row r="1734" spans="1:14" x14ac:dyDescent="0.3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6"/>
      <c r="L1734" s="15" t="str">
        <f>IF(E1734="","",IFERROR(INDEX(Aliases!$B$5:$B$80,MATCH(1,INDEX(ISNUMBER(SEARCH(Aliases!$A$5:$A$80,E1734))*(Aliases!$A$5:$A$80&lt;&gt;""),0),0)),"UNMATCHED"))</f>
        <v/>
      </c>
      <c r="M1734" s="16"/>
      <c r="N1734" s="16"/>
    </row>
    <row r="1735" spans="1:14" x14ac:dyDescent="0.3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6"/>
      <c r="L1735" s="15" t="str">
        <f>IF(E1735="","",IFERROR(INDEX(Aliases!$B$5:$B$80,MATCH(1,INDEX(ISNUMBER(SEARCH(Aliases!$A$5:$A$80,E1735))*(Aliases!$A$5:$A$80&lt;&gt;""),0),0)),"UNMATCHED"))</f>
        <v/>
      </c>
      <c r="M1735" s="16"/>
      <c r="N1735" s="16"/>
    </row>
    <row r="1736" spans="1:14" x14ac:dyDescent="0.3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6"/>
      <c r="L1736" s="15" t="str">
        <f>IF(E1736="","",IFERROR(INDEX(Aliases!$B$5:$B$80,MATCH(1,INDEX(ISNUMBER(SEARCH(Aliases!$A$5:$A$80,E1736))*(Aliases!$A$5:$A$80&lt;&gt;""),0),0)),"UNMATCHED"))</f>
        <v/>
      </c>
      <c r="M1736" s="16"/>
      <c r="N1736" s="16"/>
    </row>
    <row r="1737" spans="1:14" x14ac:dyDescent="0.3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6"/>
      <c r="L1737" s="15" t="str">
        <f>IF(E1737="","",IFERROR(INDEX(Aliases!$B$5:$B$80,MATCH(1,INDEX(ISNUMBER(SEARCH(Aliases!$A$5:$A$80,E1737))*(Aliases!$A$5:$A$80&lt;&gt;""),0),0)),"UNMATCHED"))</f>
        <v/>
      </c>
      <c r="M1737" s="16"/>
      <c r="N1737" s="16"/>
    </row>
    <row r="1738" spans="1:14" x14ac:dyDescent="0.3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6"/>
      <c r="L1738" s="15" t="str">
        <f>IF(E1738="","",IFERROR(INDEX(Aliases!$B$5:$B$80,MATCH(1,INDEX(ISNUMBER(SEARCH(Aliases!$A$5:$A$80,E1738))*(Aliases!$A$5:$A$80&lt;&gt;""),0),0)),"UNMATCHED"))</f>
        <v/>
      </c>
      <c r="M1738" s="16"/>
      <c r="N1738" s="16"/>
    </row>
    <row r="1739" spans="1:14" x14ac:dyDescent="0.3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6"/>
      <c r="L1739" s="15" t="str">
        <f>IF(E1739="","",IFERROR(INDEX(Aliases!$B$5:$B$80,MATCH(1,INDEX(ISNUMBER(SEARCH(Aliases!$A$5:$A$80,E1739))*(Aliases!$A$5:$A$80&lt;&gt;""),0),0)),"UNMATCHED"))</f>
        <v/>
      </c>
      <c r="M1739" s="16"/>
      <c r="N1739" s="16"/>
    </row>
    <row r="1740" spans="1:14" x14ac:dyDescent="0.3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6"/>
      <c r="L1740" s="15" t="str">
        <f>IF(E1740="","",IFERROR(INDEX(Aliases!$B$5:$B$80,MATCH(1,INDEX(ISNUMBER(SEARCH(Aliases!$A$5:$A$80,E1740))*(Aliases!$A$5:$A$80&lt;&gt;""),0),0)),"UNMATCHED"))</f>
        <v/>
      </c>
      <c r="M1740" s="16"/>
      <c r="N1740" s="16"/>
    </row>
    <row r="1741" spans="1:14" x14ac:dyDescent="0.3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6"/>
      <c r="L1741" s="15" t="str">
        <f>IF(E1741="","",IFERROR(INDEX(Aliases!$B$5:$B$80,MATCH(1,INDEX(ISNUMBER(SEARCH(Aliases!$A$5:$A$80,E1741))*(Aliases!$A$5:$A$80&lt;&gt;""),0),0)),"UNMATCHED"))</f>
        <v/>
      </c>
      <c r="M1741" s="16"/>
      <c r="N1741" s="16"/>
    </row>
    <row r="1742" spans="1:14" x14ac:dyDescent="0.3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6"/>
      <c r="L1742" s="15" t="str">
        <f>IF(E1742="","",IFERROR(INDEX(Aliases!$B$5:$B$80,MATCH(1,INDEX(ISNUMBER(SEARCH(Aliases!$A$5:$A$80,E1742))*(Aliases!$A$5:$A$80&lt;&gt;""),0),0)),"UNMATCHED"))</f>
        <v/>
      </c>
      <c r="M1742" s="16"/>
      <c r="N1742" s="16"/>
    </row>
    <row r="1743" spans="1:14" x14ac:dyDescent="0.3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6"/>
      <c r="L1743" s="15" t="str">
        <f>IF(E1743="","",IFERROR(INDEX(Aliases!$B$5:$B$80,MATCH(1,INDEX(ISNUMBER(SEARCH(Aliases!$A$5:$A$80,E1743))*(Aliases!$A$5:$A$80&lt;&gt;""),0),0)),"UNMATCHED"))</f>
        <v/>
      </c>
      <c r="M1743" s="16"/>
      <c r="N1743" s="16"/>
    </row>
    <row r="1744" spans="1:14" x14ac:dyDescent="0.3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6"/>
      <c r="L1744" s="15" t="str">
        <f>IF(E1744="","",IFERROR(INDEX(Aliases!$B$5:$B$80,MATCH(1,INDEX(ISNUMBER(SEARCH(Aliases!$A$5:$A$80,E1744))*(Aliases!$A$5:$A$80&lt;&gt;""),0),0)),"UNMATCHED"))</f>
        <v/>
      </c>
      <c r="M1744" s="16"/>
      <c r="N1744" s="16"/>
    </row>
    <row r="1745" spans="1:14" x14ac:dyDescent="0.3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6"/>
      <c r="L1745" s="15" t="str">
        <f>IF(E1745="","",IFERROR(INDEX(Aliases!$B$5:$B$80,MATCH(1,INDEX(ISNUMBER(SEARCH(Aliases!$A$5:$A$80,E1745))*(Aliases!$A$5:$A$80&lt;&gt;""),0),0)),"UNMATCHED"))</f>
        <v/>
      </c>
      <c r="M1745" s="16"/>
      <c r="N1745" s="16"/>
    </row>
    <row r="1746" spans="1:14" x14ac:dyDescent="0.3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6"/>
      <c r="L1746" s="15" t="str">
        <f>IF(E1746="","",IFERROR(INDEX(Aliases!$B$5:$B$80,MATCH(1,INDEX(ISNUMBER(SEARCH(Aliases!$A$5:$A$80,E1746))*(Aliases!$A$5:$A$80&lt;&gt;""),0),0)),"UNMATCHED"))</f>
        <v/>
      </c>
      <c r="M1746" s="16"/>
      <c r="N1746" s="16"/>
    </row>
    <row r="1747" spans="1:14" x14ac:dyDescent="0.3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6"/>
      <c r="L1747" s="15" t="str">
        <f>IF(E1747="","",IFERROR(INDEX(Aliases!$B$5:$B$80,MATCH(1,INDEX(ISNUMBER(SEARCH(Aliases!$A$5:$A$80,E1747))*(Aliases!$A$5:$A$80&lt;&gt;""),0),0)),"UNMATCHED"))</f>
        <v/>
      </c>
      <c r="M1747" s="16"/>
      <c r="N1747" s="16"/>
    </row>
    <row r="1748" spans="1:14" x14ac:dyDescent="0.3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6"/>
      <c r="L1748" s="15" t="str">
        <f>IF(E1748="","",IFERROR(INDEX(Aliases!$B$5:$B$80,MATCH(1,INDEX(ISNUMBER(SEARCH(Aliases!$A$5:$A$80,E1748))*(Aliases!$A$5:$A$80&lt;&gt;""),0),0)),"UNMATCHED"))</f>
        <v/>
      </c>
      <c r="M1748" s="16"/>
      <c r="N1748" s="16"/>
    </row>
    <row r="1749" spans="1:14" x14ac:dyDescent="0.3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6"/>
      <c r="L1749" s="15" t="str">
        <f>IF(E1749="","",IFERROR(INDEX(Aliases!$B$5:$B$80,MATCH(1,INDEX(ISNUMBER(SEARCH(Aliases!$A$5:$A$80,E1749))*(Aliases!$A$5:$A$80&lt;&gt;""),0),0)),"UNMATCHED"))</f>
        <v/>
      </c>
      <c r="M1749" s="16"/>
      <c r="N1749" s="16"/>
    </row>
    <row r="1750" spans="1:14" x14ac:dyDescent="0.3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6"/>
      <c r="L1750" s="15" t="str">
        <f>IF(E1750="","",IFERROR(INDEX(Aliases!$B$5:$B$80,MATCH(1,INDEX(ISNUMBER(SEARCH(Aliases!$A$5:$A$80,E1750))*(Aliases!$A$5:$A$80&lt;&gt;""),0),0)),"UNMATCHED"))</f>
        <v/>
      </c>
      <c r="M1750" s="16"/>
      <c r="N1750" s="16"/>
    </row>
    <row r="1751" spans="1:14" x14ac:dyDescent="0.3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6"/>
      <c r="L1751" s="15" t="str">
        <f>IF(E1751="","",IFERROR(INDEX(Aliases!$B$5:$B$80,MATCH(1,INDEX(ISNUMBER(SEARCH(Aliases!$A$5:$A$80,E1751))*(Aliases!$A$5:$A$80&lt;&gt;""),0),0)),"UNMATCHED"))</f>
        <v/>
      </c>
      <c r="M1751" s="16"/>
      <c r="N1751" s="16"/>
    </row>
    <row r="1752" spans="1:14" x14ac:dyDescent="0.3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6"/>
      <c r="L1752" s="15" t="str">
        <f>IF(E1752="","",IFERROR(INDEX(Aliases!$B$5:$B$80,MATCH(1,INDEX(ISNUMBER(SEARCH(Aliases!$A$5:$A$80,E1752))*(Aliases!$A$5:$A$80&lt;&gt;""),0),0)),"UNMATCHED"))</f>
        <v/>
      </c>
      <c r="M1752" s="16"/>
      <c r="N1752" s="16"/>
    </row>
    <row r="1753" spans="1:14" x14ac:dyDescent="0.3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6"/>
      <c r="L1753" s="15" t="str">
        <f>IF(E1753="","",IFERROR(INDEX(Aliases!$B$5:$B$80,MATCH(1,INDEX(ISNUMBER(SEARCH(Aliases!$A$5:$A$80,E1753))*(Aliases!$A$5:$A$80&lt;&gt;""),0),0)),"UNMATCHED"))</f>
        <v/>
      </c>
      <c r="M1753" s="16"/>
      <c r="N1753" s="16"/>
    </row>
    <row r="1754" spans="1:14" x14ac:dyDescent="0.3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6"/>
      <c r="L1754" s="15" t="str">
        <f>IF(E1754="","",IFERROR(INDEX(Aliases!$B$5:$B$80,MATCH(1,INDEX(ISNUMBER(SEARCH(Aliases!$A$5:$A$80,E1754))*(Aliases!$A$5:$A$80&lt;&gt;""),0),0)),"UNMATCHED"))</f>
        <v/>
      </c>
      <c r="M1754" s="16"/>
      <c r="N1754" s="16"/>
    </row>
    <row r="1755" spans="1:14" x14ac:dyDescent="0.3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6"/>
      <c r="L1755" s="15" t="str">
        <f>IF(E1755="","",IFERROR(INDEX(Aliases!$B$5:$B$80,MATCH(1,INDEX(ISNUMBER(SEARCH(Aliases!$A$5:$A$80,E1755))*(Aliases!$A$5:$A$80&lt;&gt;""),0),0)),"UNMATCHED"))</f>
        <v/>
      </c>
      <c r="M1755" s="16"/>
      <c r="N1755" s="16"/>
    </row>
    <row r="1756" spans="1:14" x14ac:dyDescent="0.3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6"/>
      <c r="L1756" s="15" t="str">
        <f>IF(E1756="","",IFERROR(INDEX(Aliases!$B$5:$B$80,MATCH(1,INDEX(ISNUMBER(SEARCH(Aliases!$A$5:$A$80,E1756))*(Aliases!$A$5:$A$80&lt;&gt;""),0),0)),"UNMATCHED"))</f>
        <v/>
      </c>
      <c r="M1756" s="16"/>
      <c r="N1756" s="16"/>
    </row>
    <row r="1757" spans="1:14" x14ac:dyDescent="0.3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6"/>
      <c r="L1757" s="15" t="str">
        <f>IF(E1757="","",IFERROR(INDEX(Aliases!$B$5:$B$80,MATCH(1,INDEX(ISNUMBER(SEARCH(Aliases!$A$5:$A$80,E1757))*(Aliases!$A$5:$A$80&lt;&gt;""),0),0)),"UNMATCHED"))</f>
        <v/>
      </c>
      <c r="M1757" s="16"/>
      <c r="N1757" s="16"/>
    </row>
    <row r="1758" spans="1:14" x14ac:dyDescent="0.3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6"/>
      <c r="L1758" s="15" t="str">
        <f>IF(E1758="","",IFERROR(INDEX(Aliases!$B$5:$B$80,MATCH(1,INDEX(ISNUMBER(SEARCH(Aliases!$A$5:$A$80,E1758))*(Aliases!$A$5:$A$80&lt;&gt;""),0),0)),"UNMATCHED"))</f>
        <v/>
      </c>
      <c r="M1758" s="16"/>
      <c r="N1758" s="16"/>
    </row>
    <row r="1759" spans="1:14" x14ac:dyDescent="0.3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6"/>
      <c r="L1759" s="15" t="str">
        <f>IF(E1759="","",IFERROR(INDEX(Aliases!$B$5:$B$80,MATCH(1,INDEX(ISNUMBER(SEARCH(Aliases!$A$5:$A$80,E1759))*(Aliases!$A$5:$A$80&lt;&gt;""),0),0)),"UNMATCHED"))</f>
        <v/>
      </c>
      <c r="M1759" s="16"/>
      <c r="N1759" s="16"/>
    </row>
    <row r="1760" spans="1:14" x14ac:dyDescent="0.3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6"/>
      <c r="L1760" s="15" t="str">
        <f>IF(E1760="","",IFERROR(INDEX(Aliases!$B$5:$B$80,MATCH(1,INDEX(ISNUMBER(SEARCH(Aliases!$A$5:$A$80,E1760))*(Aliases!$A$5:$A$80&lt;&gt;""),0),0)),"UNMATCHED"))</f>
        <v/>
      </c>
      <c r="M1760" s="16"/>
      <c r="N1760" s="16"/>
    </row>
    <row r="1761" spans="1:14" x14ac:dyDescent="0.3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6"/>
      <c r="L1761" s="15" t="str">
        <f>IF(E1761="","",IFERROR(INDEX(Aliases!$B$5:$B$80,MATCH(1,INDEX(ISNUMBER(SEARCH(Aliases!$A$5:$A$80,E1761))*(Aliases!$A$5:$A$80&lt;&gt;""),0),0)),"UNMATCHED"))</f>
        <v/>
      </c>
      <c r="M1761" s="16"/>
      <c r="N1761" s="16"/>
    </row>
    <row r="1762" spans="1:14" x14ac:dyDescent="0.3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6"/>
      <c r="L1762" s="15" t="str">
        <f>IF(E1762="","",IFERROR(INDEX(Aliases!$B$5:$B$80,MATCH(1,INDEX(ISNUMBER(SEARCH(Aliases!$A$5:$A$80,E1762))*(Aliases!$A$5:$A$80&lt;&gt;""),0),0)),"UNMATCHED"))</f>
        <v/>
      </c>
      <c r="M1762" s="16"/>
      <c r="N1762" s="16"/>
    </row>
    <row r="1763" spans="1:14" x14ac:dyDescent="0.3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6"/>
      <c r="L1763" s="15" t="str">
        <f>IF(E1763="","",IFERROR(INDEX(Aliases!$B$5:$B$80,MATCH(1,INDEX(ISNUMBER(SEARCH(Aliases!$A$5:$A$80,E1763))*(Aliases!$A$5:$A$80&lt;&gt;""),0),0)),"UNMATCHED"))</f>
        <v/>
      </c>
      <c r="M1763" s="16"/>
      <c r="N1763" s="16"/>
    </row>
    <row r="1764" spans="1:14" x14ac:dyDescent="0.3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6"/>
      <c r="L1764" s="15" t="str">
        <f>IF(E1764="","",IFERROR(INDEX(Aliases!$B$5:$B$80,MATCH(1,INDEX(ISNUMBER(SEARCH(Aliases!$A$5:$A$80,E1764))*(Aliases!$A$5:$A$80&lt;&gt;""),0),0)),"UNMATCHED"))</f>
        <v/>
      </c>
      <c r="M1764" s="16"/>
      <c r="N1764" s="16"/>
    </row>
    <row r="1765" spans="1:14" x14ac:dyDescent="0.3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6"/>
      <c r="L1765" s="15" t="str">
        <f>IF(E1765="","",IFERROR(INDEX(Aliases!$B$5:$B$80,MATCH(1,INDEX(ISNUMBER(SEARCH(Aliases!$A$5:$A$80,E1765))*(Aliases!$A$5:$A$80&lt;&gt;""),0),0)),"UNMATCHED"))</f>
        <v/>
      </c>
      <c r="M1765" s="16"/>
      <c r="N1765" s="16"/>
    </row>
    <row r="1766" spans="1:14" x14ac:dyDescent="0.3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6"/>
      <c r="L1766" s="15" t="str">
        <f>IF(E1766="","",IFERROR(INDEX(Aliases!$B$5:$B$80,MATCH(1,INDEX(ISNUMBER(SEARCH(Aliases!$A$5:$A$80,E1766))*(Aliases!$A$5:$A$80&lt;&gt;""),0),0)),"UNMATCHED"))</f>
        <v/>
      </c>
      <c r="M1766" s="16"/>
      <c r="N1766" s="16"/>
    </row>
    <row r="1767" spans="1:14" x14ac:dyDescent="0.3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6"/>
      <c r="L1767" s="15" t="str">
        <f>IF(E1767="","",IFERROR(INDEX(Aliases!$B$5:$B$80,MATCH(1,INDEX(ISNUMBER(SEARCH(Aliases!$A$5:$A$80,E1767))*(Aliases!$A$5:$A$80&lt;&gt;""),0),0)),"UNMATCHED"))</f>
        <v/>
      </c>
      <c r="M1767" s="16"/>
      <c r="N1767" s="16"/>
    </row>
    <row r="1768" spans="1:14" x14ac:dyDescent="0.3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6"/>
      <c r="L1768" s="15" t="str">
        <f>IF(E1768="","",IFERROR(INDEX(Aliases!$B$5:$B$80,MATCH(1,INDEX(ISNUMBER(SEARCH(Aliases!$A$5:$A$80,E1768))*(Aliases!$A$5:$A$80&lt;&gt;""),0),0)),"UNMATCHED"))</f>
        <v/>
      </c>
      <c r="M1768" s="16"/>
      <c r="N1768" s="16"/>
    </row>
    <row r="1769" spans="1:14" x14ac:dyDescent="0.3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6"/>
      <c r="L1769" s="15" t="str">
        <f>IF(E1769="","",IFERROR(INDEX(Aliases!$B$5:$B$80,MATCH(1,INDEX(ISNUMBER(SEARCH(Aliases!$A$5:$A$80,E1769))*(Aliases!$A$5:$A$80&lt;&gt;""),0),0)),"UNMATCHED"))</f>
        <v/>
      </c>
      <c r="M1769" s="16"/>
      <c r="N1769" s="16"/>
    </row>
    <row r="1770" spans="1:14" x14ac:dyDescent="0.3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6"/>
      <c r="L1770" s="15" t="str">
        <f>IF(E1770="","",IFERROR(INDEX(Aliases!$B$5:$B$80,MATCH(1,INDEX(ISNUMBER(SEARCH(Aliases!$A$5:$A$80,E1770))*(Aliases!$A$5:$A$80&lt;&gt;""),0),0)),"UNMATCHED"))</f>
        <v/>
      </c>
      <c r="M1770" s="16"/>
      <c r="N1770" s="16"/>
    </row>
    <row r="1771" spans="1:14" x14ac:dyDescent="0.3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6"/>
      <c r="L1771" s="15" t="str">
        <f>IF(E1771="","",IFERROR(INDEX(Aliases!$B$5:$B$80,MATCH(1,INDEX(ISNUMBER(SEARCH(Aliases!$A$5:$A$80,E1771))*(Aliases!$A$5:$A$80&lt;&gt;""),0),0)),"UNMATCHED"))</f>
        <v/>
      </c>
      <c r="M1771" s="16"/>
      <c r="N1771" s="16"/>
    </row>
    <row r="1772" spans="1:14" x14ac:dyDescent="0.3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6"/>
      <c r="L1772" s="15" t="str">
        <f>IF(E1772="","",IFERROR(INDEX(Aliases!$B$5:$B$80,MATCH(1,INDEX(ISNUMBER(SEARCH(Aliases!$A$5:$A$80,E1772))*(Aliases!$A$5:$A$80&lt;&gt;""),0),0)),"UNMATCHED"))</f>
        <v/>
      </c>
      <c r="M1772" s="16"/>
      <c r="N1772" s="16"/>
    </row>
    <row r="1773" spans="1:14" x14ac:dyDescent="0.3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6"/>
      <c r="L1773" s="15" t="str">
        <f>IF(E1773="","",IFERROR(INDEX(Aliases!$B$5:$B$80,MATCH(1,INDEX(ISNUMBER(SEARCH(Aliases!$A$5:$A$80,E1773))*(Aliases!$A$5:$A$80&lt;&gt;""),0),0)),"UNMATCHED"))</f>
        <v/>
      </c>
      <c r="M1773" s="16"/>
      <c r="N1773" s="16"/>
    </row>
    <row r="1774" spans="1:14" x14ac:dyDescent="0.3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6"/>
      <c r="L1774" s="15" t="str">
        <f>IF(E1774="","",IFERROR(INDEX(Aliases!$B$5:$B$80,MATCH(1,INDEX(ISNUMBER(SEARCH(Aliases!$A$5:$A$80,E1774))*(Aliases!$A$5:$A$80&lt;&gt;""),0),0)),"UNMATCHED"))</f>
        <v/>
      </c>
      <c r="M1774" s="16"/>
      <c r="N1774" s="16"/>
    </row>
    <row r="1775" spans="1:14" x14ac:dyDescent="0.3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6"/>
      <c r="L1775" s="15" t="str">
        <f>IF(E1775="","",IFERROR(INDEX(Aliases!$B$5:$B$80,MATCH(1,INDEX(ISNUMBER(SEARCH(Aliases!$A$5:$A$80,E1775))*(Aliases!$A$5:$A$80&lt;&gt;""),0),0)),"UNMATCHED"))</f>
        <v/>
      </c>
      <c r="M1775" s="16"/>
      <c r="N1775" s="16"/>
    </row>
    <row r="1776" spans="1:14" x14ac:dyDescent="0.3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6"/>
      <c r="L1776" s="15" t="str">
        <f>IF(E1776="","",IFERROR(INDEX(Aliases!$B$5:$B$80,MATCH(1,INDEX(ISNUMBER(SEARCH(Aliases!$A$5:$A$80,E1776))*(Aliases!$A$5:$A$80&lt;&gt;""),0),0)),"UNMATCHED"))</f>
        <v/>
      </c>
      <c r="M1776" s="16"/>
      <c r="N1776" s="16"/>
    </row>
    <row r="1777" spans="1:14" x14ac:dyDescent="0.3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6"/>
      <c r="L1777" s="15" t="str">
        <f>IF(E1777="","",IFERROR(INDEX(Aliases!$B$5:$B$80,MATCH(1,INDEX(ISNUMBER(SEARCH(Aliases!$A$5:$A$80,E1777))*(Aliases!$A$5:$A$80&lt;&gt;""),0),0)),"UNMATCHED"))</f>
        <v/>
      </c>
      <c r="M1777" s="16"/>
      <c r="N1777" s="16"/>
    </row>
    <row r="1778" spans="1:14" x14ac:dyDescent="0.3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6"/>
      <c r="L1778" s="15" t="str">
        <f>IF(E1778="","",IFERROR(INDEX(Aliases!$B$5:$B$80,MATCH(1,INDEX(ISNUMBER(SEARCH(Aliases!$A$5:$A$80,E1778))*(Aliases!$A$5:$A$80&lt;&gt;""),0),0)),"UNMATCHED"))</f>
        <v/>
      </c>
      <c r="M1778" s="16"/>
      <c r="N1778" s="16"/>
    </row>
    <row r="1779" spans="1:14" x14ac:dyDescent="0.3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6"/>
      <c r="L1779" s="15" t="str">
        <f>IF(E1779="","",IFERROR(INDEX(Aliases!$B$5:$B$80,MATCH(1,INDEX(ISNUMBER(SEARCH(Aliases!$A$5:$A$80,E1779))*(Aliases!$A$5:$A$80&lt;&gt;""),0),0)),"UNMATCHED"))</f>
        <v/>
      </c>
      <c r="M1779" s="16"/>
      <c r="N1779" s="16"/>
    </row>
    <row r="1780" spans="1:14" x14ac:dyDescent="0.3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6"/>
      <c r="L1780" s="15" t="str">
        <f>IF(E1780="","",IFERROR(INDEX(Aliases!$B$5:$B$80,MATCH(1,INDEX(ISNUMBER(SEARCH(Aliases!$A$5:$A$80,E1780))*(Aliases!$A$5:$A$80&lt;&gt;""),0),0)),"UNMATCHED"))</f>
        <v/>
      </c>
      <c r="M1780" s="16"/>
      <c r="N1780" s="16"/>
    </row>
    <row r="1781" spans="1:14" x14ac:dyDescent="0.3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6"/>
      <c r="L1781" s="15" t="str">
        <f>IF(E1781="","",IFERROR(INDEX(Aliases!$B$5:$B$80,MATCH(1,INDEX(ISNUMBER(SEARCH(Aliases!$A$5:$A$80,E1781))*(Aliases!$A$5:$A$80&lt;&gt;""),0),0)),"UNMATCHED"))</f>
        <v/>
      </c>
      <c r="M1781" s="16"/>
      <c r="N1781" s="16"/>
    </row>
    <row r="1782" spans="1:14" x14ac:dyDescent="0.3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6"/>
      <c r="L1782" s="15" t="str">
        <f>IF(E1782="","",IFERROR(INDEX(Aliases!$B$5:$B$80,MATCH(1,INDEX(ISNUMBER(SEARCH(Aliases!$A$5:$A$80,E1782))*(Aliases!$A$5:$A$80&lt;&gt;""),0),0)),"UNMATCHED"))</f>
        <v/>
      </c>
      <c r="M1782" s="16"/>
      <c r="N1782" s="16"/>
    </row>
    <row r="1783" spans="1:14" x14ac:dyDescent="0.3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6"/>
      <c r="L1783" s="15" t="str">
        <f>IF(E1783="","",IFERROR(INDEX(Aliases!$B$5:$B$80,MATCH(1,INDEX(ISNUMBER(SEARCH(Aliases!$A$5:$A$80,E1783))*(Aliases!$A$5:$A$80&lt;&gt;""),0),0)),"UNMATCHED"))</f>
        <v/>
      </c>
      <c r="M1783" s="16"/>
      <c r="N1783" s="16"/>
    </row>
    <row r="1784" spans="1:14" x14ac:dyDescent="0.3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6"/>
      <c r="L1784" s="15" t="str">
        <f>IF(E1784="","",IFERROR(INDEX(Aliases!$B$5:$B$80,MATCH(1,INDEX(ISNUMBER(SEARCH(Aliases!$A$5:$A$80,E1784))*(Aliases!$A$5:$A$80&lt;&gt;""),0),0)),"UNMATCHED"))</f>
        <v/>
      </c>
      <c r="M1784" s="16"/>
      <c r="N1784" s="16"/>
    </row>
    <row r="1785" spans="1:14" x14ac:dyDescent="0.3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6"/>
      <c r="L1785" s="15" t="str">
        <f>IF(E1785="","",IFERROR(INDEX(Aliases!$B$5:$B$80,MATCH(1,INDEX(ISNUMBER(SEARCH(Aliases!$A$5:$A$80,E1785))*(Aliases!$A$5:$A$80&lt;&gt;""),0),0)),"UNMATCHED"))</f>
        <v/>
      </c>
      <c r="M1785" s="16"/>
      <c r="N1785" s="16"/>
    </row>
    <row r="1786" spans="1:14" x14ac:dyDescent="0.3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6"/>
      <c r="L1786" s="15" t="str">
        <f>IF(E1786="","",IFERROR(INDEX(Aliases!$B$5:$B$80,MATCH(1,INDEX(ISNUMBER(SEARCH(Aliases!$A$5:$A$80,E1786))*(Aliases!$A$5:$A$80&lt;&gt;""),0),0)),"UNMATCHED"))</f>
        <v/>
      </c>
      <c r="M1786" s="16"/>
      <c r="N1786" s="16"/>
    </row>
    <row r="1787" spans="1:14" x14ac:dyDescent="0.3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6"/>
      <c r="L1787" s="15" t="str">
        <f>IF(E1787="","",IFERROR(INDEX(Aliases!$B$5:$B$80,MATCH(1,INDEX(ISNUMBER(SEARCH(Aliases!$A$5:$A$80,E1787))*(Aliases!$A$5:$A$80&lt;&gt;""),0),0)),"UNMATCHED"))</f>
        <v/>
      </c>
      <c r="M1787" s="16"/>
      <c r="N1787" s="16"/>
    </row>
    <row r="1788" spans="1:14" x14ac:dyDescent="0.3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6"/>
      <c r="L1788" s="15" t="str">
        <f>IF(E1788="","",IFERROR(INDEX(Aliases!$B$5:$B$80,MATCH(1,INDEX(ISNUMBER(SEARCH(Aliases!$A$5:$A$80,E1788))*(Aliases!$A$5:$A$80&lt;&gt;""),0),0)),"UNMATCHED"))</f>
        <v/>
      </c>
      <c r="M1788" s="16"/>
      <c r="N1788" s="16"/>
    </row>
    <row r="1789" spans="1:14" x14ac:dyDescent="0.3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6"/>
      <c r="L1789" s="15" t="str">
        <f>IF(E1789="","",IFERROR(INDEX(Aliases!$B$5:$B$80,MATCH(1,INDEX(ISNUMBER(SEARCH(Aliases!$A$5:$A$80,E1789))*(Aliases!$A$5:$A$80&lt;&gt;""),0),0)),"UNMATCHED"))</f>
        <v/>
      </c>
      <c r="M1789" s="16"/>
      <c r="N1789" s="16"/>
    </row>
    <row r="1790" spans="1:14" x14ac:dyDescent="0.3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6"/>
      <c r="L1790" s="15" t="str">
        <f>IF(E1790="","",IFERROR(INDEX(Aliases!$B$5:$B$80,MATCH(1,INDEX(ISNUMBER(SEARCH(Aliases!$A$5:$A$80,E1790))*(Aliases!$A$5:$A$80&lt;&gt;""),0),0)),"UNMATCHED"))</f>
        <v/>
      </c>
      <c r="M1790" s="16"/>
      <c r="N1790" s="16"/>
    </row>
    <row r="1791" spans="1:14" x14ac:dyDescent="0.3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6"/>
      <c r="L1791" s="15" t="str">
        <f>IF(E1791="","",IFERROR(INDEX(Aliases!$B$5:$B$80,MATCH(1,INDEX(ISNUMBER(SEARCH(Aliases!$A$5:$A$80,E1791))*(Aliases!$A$5:$A$80&lt;&gt;""),0),0)),"UNMATCHED"))</f>
        <v/>
      </c>
      <c r="M1791" s="16"/>
      <c r="N1791" s="16"/>
    </row>
    <row r="1792" spans="1:14" x14ac:dyDescent="0.3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6"/>
      <c r="L1792" s="15" t="str">
        <f>IF(E1792="","",IFERROR(INDEX(Aliases!$B$5:$B$80,MATCH(1,INDEX(ISNUMBER(SEARCH(Aliases!$A$5:$A$80,E1792))*(Aliases!$A$5:$A$80&lt;&gt;""),0),0)),"UNMATCHED"))</f>
        <v/>
      </c>
      <c r="M1792" s="16"/>
      <c r="N1792" s="16"/>
    </row>
    <row r="1793" spans="1:14" x14ac:dyDescent="0.3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6"/>
      <c r="L1793" s="15" t="str">
        <f>IF(E1793="","",IFERROR(INDEX(Aliases!$B$5:$B$80,MATCH(1,INDEX(ISNUMBER(SEARCH(Aliases!$A$5:$A$80,E1793))*(Aliases!$A$5:$A$80&lt;&gt;""),0),0)),"UNMATCHED"))</f>
        <v/>
      </c>
      <c r="M1793" s="16"/>
      <c r="N1793" s="16"/>
    </row>
    <row r="1794" spans="1:14" x14ac:dyDescent="0.3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6"/>
      <c r="L1794" s="15" t="str">
        <f>IF(E1794="","",IFERROR(INDEX(Aliases!$B$5:$B$80,MATCH(1,INDEX(ISNUMBER(SEARCH(Aliases!$A$5:$A$80,E1794))*(Aliases!$A$5:$A$80&lt;&gt;""),0),0)),"UNMATCHED"))</f>
        <v/>
      </c>
      <c r="M1794" s="16"/>
      <c r="N1794" s="16"/>
    </row>
    <row r="1795" spans="1:14" x14ac:dyDescent="0.3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6"/>
      <c r="L1795" s="15" t="str">
        <f>IF(E1795="","",IFERROR(INDEX(Aliases!$B$5:$B$80,MATCH(1,INDEX(ISNUMBER(SEARCH(Aliases!$A$5:$A$80,E1795))*(Aliases!$A$5:$A$80&lt;&gt;""),0),0)),"UNMATCHED"))</f>
        <v/>
      </c>
      <c r="M1795" s="16"/>
      <c r="N1795" s="16"/>
    </row>
    <row r="1796" spans="1:14" x14ac:dyDescent="0.3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6"/>
      <c r="L1796" s="15" t="str">
        <f>IF(E1796="","",IFERROR(INDEX(Aliases!$B$5:$B$80,MATCH(1,INDEX(ISNUMBER(SEARCH(Aliases!$A$5:$A$80,E1796))*(Aliases!$A$5:$A$80&lt;&gt;""),0),0)),"UNMATCHED"))</f>
        <v/>
      </c>
      <c r="M1796" s="16"/>
      <c r="N1796" s="16"/>
    </row>
    <row r="1797" spans="1:14" x14ac:dyDescent="0.3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6"/>
      <c r="L1797" s="15" t="str">
        <f>IF(E1797="","",IFERROR(INDEX(Aliases!$B$5:$B$80,MATCH(1,INDEX(ISNUMBER(SEARCH(Aliases!$A$5:$A$80,E1797))*(Aliases!$A$5:$A$80&lt;&gt;""),0),0)),"UNMATCHED"))</f>
        <v/>
      </c>
      <c r="M1797" s="16"/>
      <c r="N1797" s="16"/>
    </row>
    <row r="1798" spans="1:14" x14ac:dyDescent="0.3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6"/>
      <c r="L1798" s="15" t="str">
        <f>IF(E1798="","",IFERROR(INDEX(Aliases!$B$5:$B$80,MATCH(1,INDEX(ISNUMBER(SEARCH(Aliases!$A$5:$A$80,E1798))*(Aliases!$A$5:$A$80&lt;&gt;""),0),0)),"UNMATCHED"))</f>
        <v/>
      </c>
      <c r="M1798" s="16"/>
      <c r="N1798" s="16"/>
    </row>
    <row r="1799" spans="1:14" x14ac:dyDescent="0.3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6"/>
      <c r="L1799" s="15" t="str">
        <f>IF(E1799="","",IFERROR(INDEX(Aliases!$B$5:$B$80,MATCH(1,INDEX(ISNUMBER(SEARCH(Aliases!$A$5:$A$80,E1799))*(Aliases!$A$5:$A$80&lt;&gt;""),0),0)),"UNMATCHED"))</f>
        <v/>
      </c>
      <c r="M1799" s="16"/>
      <c r="N1799" s="16"/>
    </row>
    <row r="1800" spans="1:14" x14ac:dyDescent="0.3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6"/>
      <c r="L1800" s="15" t="str">
        <f>IF(E1800="","",IFERROR(INDEX(Aliases!$B$5:$B$80,MATCH(1,INDEX(ISNUMBER(SEARCH(Aliases!$A$5:$A$80,E1800))*(Aliases!$A$5:$A$80&lt;&gt;""),0),0)),"UNMATCHED"))</f>
        <v/>
      </c>
      <c r="M1800" s="16"/>
      <c r="N1800" s="16"/>
    </row>
    <row r="1801" spans="1:14" x14ac:dyDescent="0.3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6"/>
      <c r="L1801" s="15" t="str">
        <f>IF(E1801="","",IFERROR(INDEX(Aliases!$B$5:$B$80,MATCH(1,INDEX(ISNUMBER(SEARCH(Aliases!$A$5:$A$80,E1801))*(Aliases!$A$5:$A$80&lt;&gt;""),0),0)),"UNMATCHED"))</f>
        <v/>
      </c>
      <c r="M1801" s="16"/>
      <c r="N1801" s="16"/>
    </row>
    <row r="1802" spans="1:14" x14ac:dyDescent="0.3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6"/>
      <c r="L1802" s="15" t="str">
        <f>IF(E1802="","",IFERROR(INDEX(Aliases!$B$5:$B$80,MATCH(1,INDEX(ISNUMBER(SEARCH(Aliases!$A$5:$A$80,E1802))*(Aliases!$A$5:$A$80&lt;&gt;""),0),0)),"UNMATCHED"))</f>
        <v/>
      </c>
      <c r="M1802" s="16"/>
      <c r="N1802" s="16"/>
    </row>
    <row r="1803" spans="1:14" x14ac:dyDescent="0.3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6"/>
      <c r="L1803" s="15" t="str">
        <f>IF(E1803="","",IFERROR(INDEX(Aliases!$B$5:$B$80,MATCH(1,INDEX(ISNUMBER(SEARCH(Aliases!$A$5:$A$80,E1803))*(Aliases!$A$5:$A$80&lt;&gt;""),0),0)),"UNMATCHED"))</f>
        <v/>
      </c>
      <c r="M1803" s="16"/>
      <c r="N1803" s="16"/>
    </row>
    <row r="1804" spans="1:14" x14ac:dyDescent="0.3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6"/>
      <c r="L1804" s="15" t="str">
        <f>IF(E1804="","",IFERROR(INDEX(Aliases!$B$5:$B$80,MATCH(1,INDEX(ISNUMBER(SEARCH(Aliases!$A$5:$A$80,E1804))*(Aliases!$A$5:$A$80&lt;&gt;""),0),0)),"UNMATCHED"))</f>
        <v/>
      </c>
      <c r="M1804" s="16"/>
      <c r="N1804" s="16"/>
    </row>
    <row r="1805" spans="1:14" x14ac:dyDescent="0.3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6"/>
      <c r="L1805" s="15" t="str">
        <f>IF(E1805="","",IFERROR(INDEX(Aliases!$B$5:$B$80,MATCH(1,INDEX(ISNUMBER(SEARCH(Aliases!$A$5:$A$80,E1805))*(Aliases!$A$5:$A$80&lt;&gt;""),0),0)),"UNMATCHED"))</f>
        <v/>
      </c>
      <c r="M1805" s="16"/>
      <c r="N1805" s="16"/>
    </row>
    <row r="1806" spans="1:14" x14ac:dyDescent="0.3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6"/>
      <c r="L1806" s="15" t="str">
        <f>IF(E1806="","",IFERROR(INDEX(Aliases!$B$5:$B$80,MATCH(1,INDEX(ISNUMBER(SEARCH(Aliases!$A$5:$A$80,E1806))*(Aliases!$A$5:$A$80&lt;&gt;""),0),0)),"UNMATCHED"))</f>
        <v/>
      </c>
      <c r="M1806" s="16"/>
      <c r="N1806" s="16"/>
    </row>
    <row r="1807" spans="1:14" x14ac:dyDescent="0.3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6"/>
      <c r="L1807" s="15" t="str">
        <f>IF(E1807="","",IFERROR(INDEX(Aliases!$B$5:$B$80,MATCH(1,INDEX(ISNUMBER(SEARCH(Aliases!$A$5:$A$80,E1807))*(Aliases!$A$5:$A$80&lt;&gt;""),0),0)),"UNMATCHED"))</f>
        <v/>
      </c>
      <c r="M1807" s="16"/>
      <c r="N1807" s="16"/>
    </row>
    <row r="1808" spans="1:14" x14ac:dyDescent="0.3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6"/>
      <c r="L1808" s="15" t="str">
        <f>IF(E1808="","",IFERROR(INDEX(Aliases!$B$5:$B$80,MATCH(1,INDEX(ISNUMBER(SEARCH(Aliases!$A$5:$A$80,E1808))*(Aliases!$A$5:$A$80&lt;&gt;""),0),0)),"UNMATCHED"))</f>
        <v/>
      </c>
      <c r="M1808" s="16"/>
      <c r="N1808" s="16"/>
    </row>
    <row r="1809" spans="1:14" x14ac:dyDescent="0.3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6"/>
      <c r="L1809" s="15" t="str">
        <f>IF(E1809="","",IFERROR(INDEX(Aliases!$B$5:$B$80,MATCH(1,INDEX(ISNUMBER(SEARCH(Aliases!$A$5:$A$80,E1809))*(Aliases!$A$5:$A$80&lt;&gt;""),0),0)),"UNMATCHED"))</f>
        <v/>
      </c>
      <c r="M1809" s="16"/>
      <c r="N1809" s="16"/>
    </row>
    <row r="1810" spans="1:14" x14ac:dyDescent="0.3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6"/>
      <c r="L1810" s="15" t="str">
        <f>IF(E1810="","",IFERROR(INDEX(Aliases!$B$5:$B$80,MATCH(1,INDEX(ISNUMBER(SEARCH(Aliases!$A$5:$A$80,E1810))*(Aliases!$A$5:$A$80&lt;&gt;""),0),0)),"UNMATCHED"))</f>
        <v/>
      </c>
      <c r="M1810" s="16"/>
      <c r="N1810" s="16"/>
    </row>
    <row r="1811" spans="1:14" x14ac:dyDescent="0.3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6"/>
      <c r="L1811" s="15" t="str">
        <f>IF(E1811="","",IFERROR(INDEX(Aliases!$B$5:$B$80,MATCH(1,INDEX(ISNUMBER(SEARCH(Aliases!$A$5:$A$80,E1811))*(Aliases!$A$5:$A$80&lt;&gt;""),0),0)),"UNMATCHED"))</f>
        <v/>
      </c>
      <c r="M1811" s="16"/>
      <c r="N1811" s="16"/>
    </row>
    <row r="1812" spans="1:14" x14ac:dyDescent="0.3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6"/>
      <c r="L1812" s="15" t="str">
        <f>IF(E1812="","",IFERROR(INDEX(Aliases!$B$5:$B$80,MATCH(1,INDEX(ISNUMBER(SEARCH(Aliases!$A$5:$A$80,E1812))*(Aliases!$A$5:$A$80&lt;&gt;""),0),0)),"UNMATCHED"))</f>
        <v/>
      </c>
      <c r="M1812" s="16"/>
      <c r="N1812" s="16"/>
    </row>
    <row r="1813" spans="1:14" x14ac:dyDescent="0.3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6"/>
      <c r="L1813" s="15" t="str">
        <f>IF(E1813="","",IFERROR(INDEX(Aliases!$B$5:$B$80,MATCH(1,INDEX(ISNUMBER(SEARCH(Aliases!$A$5:$A$80,E1813))*(Aliases!$A$5:$A$80&lt;&gt;""),0),0)),"UNMATCHED"))</f>
        <v/>
      </c>
      <c r="M1813" s="16"/>
      <c r="N1813" s="16"/>
    </row>
    <row r="1814" spans="1:14" x14ac:dyDescent="0.3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6"/>
      <c r="L1814" s="15" t="str">
        <f>IF(E1814="","",IFERROR(INDEX(Aliases!$B$5:$B$80,MATCH(1,INDEX(ISNUMBER(SEARCH(Aliases!$A$5:$A$80,E1814))*(Aliases!$A$5:$A$80&lt;&gt;""),0),0)),"UNMATCHED"))</f>
        <v/>
      </c>
      <c r="M1814" s="16"/>
      <c r="N1814" s="16"/>
    </row>
    <row r="1815" spans="1:14" x14ac:dyDescent="0.3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6"/>
      <c r="L1815" s="15" t="str">
        <f>IF(E1815="","",IFERROR(INDEX(Aliases!$B$5:$B$80,MATCH(1,INDEX(ISNUMBER(SEARCH(Aliases!$A$5:$A$80,E1815))*(Aliases!$A$5:$A$80&lt;&gt;""),0),0)),"UNMATCHED"))</f>
        <v/>
      </c>
      <c r="M1815" s="16"/>
      <c r="N1815" s="16"/>
    </row>
    <row r="1816" spans="1:14" x14ac:dyDescent="0.3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6"/>
      <c r="L1816" s="15" t="str">
        <f>IF(E1816="","",IFERROR(INDEX(Aliases!$B$5:$B$80,MATCH(1,INDEX(ISNUMBER(SEARCH(Aliases!$A$5:$A$80,E1816))*(Aliases!$A$5:$A$80&lt;&gt;""),0),0)),"UNMATCHED"))</f>
        <v/>
      </c>
      <c r="M1816" s="16"/>
      <c r="N1816" s="16"/>
    </row>
    <row r="1817" spans="1:14" x14ac:dyDescent="0.3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6"/>
      <c r="L1817" s="15" t="str">
        <f>IF(E1817="","",IFERROR(INDEX(Aliases!$B$5:$B$80,MATCH(1,INDEX(ISNUMBER(SEARCH(Aliases!$A$5:$A$80,E1817))*(Aliases!$A$5:$A$80&lt;&gt;""),0),0)),"UNMATCHED"))</f>
        <v/>
      </c>
      <c r="M1817" s="16"/>
      <c r="N1817" s="16"/>
    </row>
    <row r="1818" spans="1:14" x14ac:dyDescent="0.3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6"/>
      <c r="L1818" s="15" t="str">
        <f>IF(E1818="","",IFERROR(INDEX(Aliases!$B$5:$B$80,MATCH(1,INDEX(ISNUMBER(SEARCH(Aliases!$A$5:$A$80,E1818))*(Aliases!$A$5:$A$80&lt;&gt;""),0),0)),"UNMATCHED"))</f>
        <v/>
      </c>
      <c r="M1818" s="16"/>
      <c r="N1818" s="16"/>
    </row>
    <row r="1819" spans="1:14" x14ac:dyDescent="0.3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6"/>
      <c r="L1819" s="15" t="str">
        <f>IF(E1819="","",IFERROR(INDEX(Aliases!$B$5:$B$80,MATCH(1,INDEX(ISNUMBER(SEARCH(Aliases!$A$5:$A$80,E1819))*(Aliases!$A$5:$A$80&lt;&gt;""),0),0)),"UNMATCHED"))</f>
        <v/>
      </c>
      <c r="M1819" s="16"/>
      <c r="N1819" s="16"/>
    </row>
    <row r="1820" spans="1:14" x14ac:dyDescent="0.3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6"/>
      <c r="L1820" s="15" t="str">
        <f>IF(E1820="","",IFERROR(INDEX(Aliases!$B$5:$B$80,MATCH(1,INDEX(ISNUMBER(SEARCH(Aliases!$A$5:$A$80,E1820))*(Aliases!$A$5:$A$80&lt;&gt;""),0),0)),"UNMATCHED"))</f>
        <v/>
      </c>
      <c r="M1820" s="16"/>
      <c r="N1820" s="16"/>
    </row>
    <row r="1821" spans="1:14" x14ac:dyDescent="0.3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6"/>
      <c r="L1821" s="15" t="str">
        <f>IF(E1821="","",IFERROR(INDEX(Aliases!$B$5:$B$80,MATCH(1,INDEX(ISNUMBER(SEARCH(Aliases!$A$5:$A$80,E1821))*(Aliases!$A$5:$A$80&lt;&gt;""),0),0)),"UNMATCHED"))</f>
        <v/>
      </c>
      <c r="M1821" s="16"/>
      <c r="N1821" s="16"/>
    </row>
    <row r="1822" spans="1:14" x14ac:dyDescent="0.3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6"/>
      <c r="L1822" s="15" t="str">
        <f>IF(E1822="","",IFERROR(INDEX(Aliases!$B$5:$B$80,MATCH(1,INDEX(ISNUMBER(SEARCH(Aliases!$A$5:$A$80,E1822))*(Aliases!$A$5:$A$80&lt;&gt;""),0),0)),"UNMATCHED"))</f>
        <v/>
      </c>
      <c r="M1822" s="16"/>
      <c r="N1822" s="16"/>
    </row>
    <row r="1823" spans="1:14" x14ac:dyDescent="0.3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6"/>
      <c r="L1823" s="15" t="str">
        <f>IF(E1823="","",IFERROR(INDEX(Aliases!$B$5:$B$80,MATCH(1,INDEX(ISNUMBER(SEARCH(Aliases!$A$5:$A$80,E1823))*(Aliases!$A$5:$A$80&lt;&gt;""),0),0)),"UNMATCHED"))</f>
        <v/>
      </c>
      <c r="M1823" s="16"/>
      <c r="N1823" s="16"/>
    </row>
    <row r="1824" spans="1:14" x14ac:dyDescent="0.3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6"/>
      <c r="L1824" s="15" t="str">
        <f>IF(E1824="","",IFERROR(INDEX(Aliases!$B$5:$B$80,MATCH(1,INDEX(ISNUMBER(SEARCH(Aliases!$A$5:$A$80,E1824))*(Aliases!$A$5:$A$80&lt;&gt;""),0),0)),"UNMATCHED"))</f>
        <v/>
      </c>
      <c r="M1824" s="16"/>
      <c r="N1824" s="16"/>
    </row>
    <row r="1825" spans="1:14" x14ac:dyDescent="0.3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6"/>
      <c r="L1825" s="15" t="str">
        <f>IF(E1825="","",IFERROR(INDEX(Aliases!$B$5:$B$80,MATCH(1,INDEX(ISNUMBER(SEARCH(Aliases!$A$5:$A$80,E1825))*(Aliases!$A$5:$A$80&lt;&gt;""),0),0)),"UNMATCHED"))</f>
        <v/>
      </c>
      <c r="M1825" s="16"/>
      <c r="N1825" s="16"/>
    </row>
    <row r="1826" spans="1:14" x14ac:dyDescent="0.3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6"/>
      <c r="L1826" s="15" t="str">
        <f>IF(E1826="","",IFERROR(INDEX(Aliases!$B$5:$B$80,MATCH(1,INDEX(ISNUMBER(SEARCH(Aliases!$A$5:$A$80,E1826))*(Aliases!$A$5:$A$80&lt;&gt;""),0),0)),"UNMATCHED"))</f>
        <v/>
      </c>
      <c r="M1826" s="16"/>
      <c r="N1826" s="16"/>
    </row>
    <row r="1827" spans="1:14" x14ac:dyDescent="0.3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6"/>
      <c r="L1827" s="15" t="str">
        <f>IF(E1827="","",IFERROR(INDEX(Aliases!$B$5:$B$80,MATCH(1,INDEX(ISNUMBER(SEARCH(Aliases!$A$5:$A$80,E1827))*(Aliases!$A$5:$A$80&lt;&gt;""),0),0)),"UNMATCHED"))</f>
        <v/>
      </c>
      <c r="M1827" s="16"/>
      <c r="N1827" s="16"/>
    </row>
    <row r="1828" spans="1:14" x14ac:dyDescent="0.3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6"/>
      <c r="L1828" s="15" t="str">
        <f>IF(E1828="","",IFERROR(INDEX(Aliases!$B$5:$B$80,MATCH(1,INDEX(ISNUMBER(SEARCH(Aliases!$A$5:$A$80,E1828))*(Aliases!$A$5:$A$80&lt;&gt;""),0),0)),"UNMATCHED"))</f>
        <v/>
      </c>
      <c r="M1828" s="16"/>
      <c r="N1828" s="16"/>
    </row>
    <row r="1829" spans="1:14" x14ac:dyDescent="0.3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6"/>
      <c r="L1829" s="15" t="str">
        <f>IF(E1829="","",IFERROR(INDEX(Aliases!$B$5:$B$80,MATCH(1,INDEX(ISNUMBER(SEARCH(Aliases!$A$5:$A$80,E1829))*(Aliases!$A$5:$A$80&lt;&gt;""),0),0)),"UNMATCHED"))</f>
        <v/>
      </c>
      <c r="M1829" s="16"/>
      <c r="N1829" s="16"/>
    </row>
    <row r="1830" spans="1:14" x14ac:dyDescent="0.3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6"/>
      <c r="L1830" s="15" t="str">
        <f>IF(E1830="","",IFERROR(INDEX(Aliases!$B$5:$B$80,MATCH(1,INDEX(ISNUMBER(SEARCH(Aliases!$A$5:$A$80,E1830))*(Aliases!$A$5:$A$80&lt;&gt;""),0),0)),"UNMATCHED"))</f>
        <v/>
      </c>
      <c r="M1830" s="16"/>
      <c r="N1830" s="16"/>
    </row>
    <row r="1831" spans="1:14" x14ac:dyDescent="0.3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6"/>
      <c r="L1831" s="15" t="str">
        <f>IF(E1831="","",IFERROR(INDEX(Aliases!$B$5:$B$80,MATCH(1,INDEX(ISNUMBER(SEARCH(Aliases!$A$5:$A$80,E1831))*(Aliases!$A$5:$A$80&lt;&gt;""),0),0)),"UNMATCHED"))</f>
        <v/>
      </c>
      <c r="M1831" s="16"/>
      <c r="N1831" s="16"/>
    </row>
    <row r="1832" spans="1:14" x14ac:dyDescent="0.3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6"/>
      <c r="L1832" s="15" t="str">
        <f>IF(E1832="","",IFERROR(INDEX(Aliases!$B$5:$B$80,MATCH(1,INDEX(ISNUMBER(SEARCH(Aliases!$A$5:$A$80,E1832))*(Aliases!$A$5:$A$80&lt;&gt;""),0),0)),"UNMATCHED"))</f>
        <v/>
      </c>
      <c r="M1832" s="16"/>
      <c r="N1832" s="16"/>
    </row>
    <row r="1833" spans="1:14" x14ac:dyDescent="0.3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6"/>
      <c r="L1833" s="15" t="str">
        <f>IF(E1833="","",IFERROR(INDEX(Aliases!$B$5:$B$80,MATCH(1,INDEX(ISNUMBER(SEARCH(Aliases!$A$5:$A$80,E1833))*(Aliases!$A$5:$A$80&lt;&gt;""),0),0)),"UNMATCHED"))</f>
        <v/>
      </c>
      <c r="M1833" s="16"/>
      <c r="N1833" s="16"/>
    </row>
    <row r="1834" spans="1:14" x14ac:dyDescent="0.3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6"/>
      <c r="L1834" s="15" t="str">
        <f>IF(E1834="","",IFERROR(INDEX(Aliases!$B$5:$B$80,MATCH(1,INDEX(ISNUMBER(SEARCH(Aliases!$A$5:$A$80,E1834))*(Aliases!$A$5:$A$80&lt;&gt;""),0),0)),"UNMATCHED"))</f>
        <v/>
      </c>
      <c r="M1834" s="16"/>
      <c r="N1834" s="16"/>
    </row>
    <row r="1835" spans="1:14" x14ac:dyDescent="0.3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6"/>
      <c r="L1835" s="15" t="str">
        <f>IF(E1835="","",IFERROR(INDEX(Aliases!$B$5:$B$80,MATCH(1,INDEX(ISNUMBER(SEARCH(Aliases!$A$5:$A$80,E1835))*(Aliases!$A$5:$A$80&lt;&gt;""),0),0)),"UNMATCHED"))</f>
        <v/>
      </c>
      <c r="M1835" s="16"/>
      <c r="N1835" s="16"/>
    </row>
    <row r="1836" spans="1:14" x14ac:dyDescent="0.3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6"/>
      <c r="L1836" s="15" t="str">
        <f>IF(E1836="","",IFERROR(INDEX(Aliases!$B$5:$B$80,MATCH(1,INDEX(ISNUMBER(SEARCH(Aliases!$A$5:$A$80,E1836))*(Aliases!$A$5:$A$80&lt;&gt;""),0),0)),"UNMATCHED"))</f>
        <v/>
      </c>
      <c r="M1836" s="16"/>
      <c r="N1836" s="16"/>
    </row>
    <row r="1837" spans="1:14" x14ac:dyDescent="0.3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6"/>
      <c r="L1837" s="15" t="str">
        <f>IF(E1837="","",IFERROR(INDEX(Aliases!$B$5:$B$80,MATCH(1,INDEX(ISNUMBER(SEARCH(Aliases!$A$5:$A$80,E1837))*(Aliases!$A$5:$A$80&lt;&gt;""),0),0)),"UNMATCHED"))</f>
        <v/>
      </c>
      <c r="M1837" s="16"/>
      <c r="N1837" s="16"/>
    </row>
    <row r="1838" spans="1:14" x14ac:dyDescent="0.3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6"/>
      <c r="L1838" s="15" t="str">
        <f>IF(E1838="","",IFERROR(INDEX(Aliases!$B$5:$B$80,MATCH(1,INDEX(ISNUMBER(SEARCH(Aliases!$A$5:$A$80,E1838))*(Aliases!$A$5:$A$80&lt;&gt;""),0),0)),"UNMATCHED"))</f>
        <v/>
      </c>
      <c r="M1838" s="16"/>
      <c r="N1838" s="16"/>
    </row>
    <row r="1839" spans="1:14" x14ac:dyDescent="0.3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6"/>
      <c r="L1839" s="15" t="str">
        <f>IF(E1839="","",IFERROR(INDEX(Aliases!$B$5:$B$80,MATCH(1,INDEX(ISNUMBER(SEARCH(Aliases!$A$5:$A$80,E1839))*(Aliases!$A$5:$A$80&lt;&gt;""),0),0)),"UNMATCHED"))</f>
        <v/>
      </c>
      <c r="M1839" s="16"/>
      <c r="N1839" s="16"/>
    </row>
    <row r="1840" spans="1:14" x14ac:dyDescent="0.3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6"/>
      <c r="L1840" s="15" t="str">
        <f>IF(E1840="","",IFERROR(INDEX(Aliases!$B$5:$B$80,MATCH(1,INDEX(ISNUMBER(SEARCH(Aliases!$A$5:$A$80,E1840))*(Aliases!$A$5:$A$80&lt;&gt;""),0),0)),"UNMATCHED"))</f>
        <v/>
      </c>
      <c r="M1840" s="16"/>
      <c r="N1840" s="16"/>
    </row>
    <row r="1841" spans="1:14" x14ac:dyDescent="0.3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6"/>
      <c r="L1841" s="15" t="str">
        <f>IF(E1841="","",IFERROR(INDEX(Aliases!$B$5:$B$80,MATCH(1,INDEX(ISNUMBER(SEARCH(Aliases!$A$5:$A$80,E1841))*(Aliases!$A$5:$A$80&lt;&gt;""),0),0)),"UNMATCHED"))</f>
        <v/>
      </c>
      <c r="M1841" s="16"/>
      <c r="N1841" s="16"/>
    </row>
    <row r="1842" spans="1:14" x14ac:dyDescent="0.3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6"/>
      <c r="L1842" s="15" t="str">
        <f>IF(E1842="","",IFERROR(INDEX(Aliases!$B$5:$B$80,MATCH(1,INDEX(ISNUMBER(SEARCH(Aliases!$A$5:$A$80,E1842))*(Aliases!$A$5:$A$80&lt;&gt;""),0),0)),"UNMATCHED"))</f>
        <v/>
      </c>
      <c r="M1842" s="16"/>
      <c r="N1842" s="16"/>
    </row>
    <row r="1843" spans="1:14" x14ac:dyDescent="0.3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6"/>
      <c r="L1843" s="15" t="str">
        <f>IF(E1843="","",IFERROR(INDEX(Aliases!$B$5:$B$80,MATCH(1,INDEX(ISNUMBER(SEARCH(Aliases!$A$5:$A$80,E1843))*(Aliases!$A$5:$A$80&lt;&gt;""),0),0)),"UNMATCHED"))</f>
        <v/>
      </c>
      <c r="M1843" s="16"/>
      <c r="N1843" s="16"/>
    </row>
    <row r="1844" spans="1:14" x14ac:dyDescent="0.3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6"/>
      <c r="L1844" s="15" t="str">
        <f>IF(E1844="","",IFERROR(INDEX(Aliases!$B$5:$B$80,MATCH(1,INDEX(ISNUMBER(SEARCH(Aliases!$A$5:$A$80,E1844))*(Aliases!$A$5:$A$80&lt;&gt;""),0),0)),"UNMATCHED"))</f>
        <v/>
      </c>
      <c r="M1844" s="16"/>
      <c r="N1844" s="16"/>
    </row>
    <row r="1845" spans="1:14" x14ac:dyDescent="0.3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6"/>
      <c r="L1845" s="15" t="str">
        <f>IF(E1845="","",IFERROR(INDEX(Aliases!$B$5:$B$80,MATCH(1,INDEX(ISNUMBER(SEARCH(Aliases!$A$5:$A$80,E1845))*(Aliases!$A$5:$A$80&lt;&gt;""),0),0)),"UNMATCHED"))</f>
        <v/>
      </c>
      <c r="M1845" s="16"/>
      <c r="N1845" s="16"/>
    </row>
    <row r="1846" spans="1:14" x14ac:dyDescent="0.3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6"/>
      <c r="L1846" s="15" t="str">
        <f>IF(E1846="","",IFERROR(INDEX(Aliases!$B$5:$B$80,MATCH(1,INDEX(ISNUMBER(SEARCH(Aliases!$A$5:$A$80,E1846))*(Aliases!$A$5:$A$80&lt;&gt;""),0),0)),"UNMATCHED"))</f>
        <v/>
      </c>
      <c r="M1846" s="16"/>
      <c r="N1846" s="16"/>
    </row>
    <row r="1847" spans="1:14" x14ac:dyDescent="0.3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6"/>
      <c r="L1847" s="15" t="str">
        <f>IF(E1847="","",IFERROR(INDEX(Aliases!$B$5:$B$80,MATCH(1,INDEX(ISNUMBER(SEARCH(Aliases!$A$5:$A$80,E1847))*(Aliases!$A$5:$A$80&lt;&gt;""),0),0)),"UNMATCHED"))</f>
        <v/>
      </c>
      <c r="M1847" s="16"/>
      <c r="N1847" s="16"/>
    </row>
    <row r="1848" spans="1:14" x14ac:dyDescent="0.3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6"/>
      <c r="L1848" s="15" t="str">
        <f>IF(E1848="","",IFERROR(INDEX(Aliases!$B$5:$B$80,MATCH(1,INDEX(ISNUMBER(SEARCH(Aliases!$A$5:$A$80,E1848))*(Aliases!$A$5:$A$80&lt;&gt;""),0),0)),"UNMATCHED"))</f>
        <v/>
      </c>
      <c r="M1848" s="16"/>
      <c r="N1848" s="16"/>
    </row>
    <row r="1849" spans="1:14" x14ac:dyDescent="0.3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6"/>
      <c r="L1849" s="15" t="str">
        <f>IF(E1849="","",IFERROR(INDEX(Aliases!$B$5:$B$80,MATCH(1,INDEX(ISNUMBER(SEARCH(Aliases!$A$5:$A$80,E1849))*(Aliases!$A$5:$A$80&lt;&gt;""),0),0)),"UNMATCHED"))</f>
        <v/>
      </c>
      <c r="M1849" s="16"/>
      <c r="N1849" s="16"/>
    </row>
    <row r="1850" spans="1:14" x14ac:dyDescent="0.3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6"/>
      <c r="L1850" s="15" t="str">
        <f>IF(E1850="","",IFERROR(INDEX(Aliases!$B$5:$B$80,MATCH(1,INDEX(ISNUMBER(SEARCH(Aliases!$A$5:$A$80,E1850))*(Aliases!$A$5:$A$80&lt;&gt;""),0),0)),"UNMATCHED"))</f>
        <v/>
      </c>
      <c r="M1850" s="16"/>
      <c r="N1850" s="16"/>
    </row>
    <row r="1851" spans="1:14" x14ac:dyDescent="0.3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6"/>
      <c r="L1851" s="15" t="str">
        <f>IF(E1851="","",IFERROR(INDEX(Aliases!$B$5:$B$80,MATCH(1,INDEX(ISNUMBER(SEARCH(Aliases!$A$5:$A$80,E1851))*(Aliases!$A$5:$A$80&lt;&gt;""),0),0)),"UNMATCHED"))</f>
        <v/>
      </c>
      <c r="M1851" s="16"/>
      <c r="N1851" s="16"/>
    </row>
    <row r="1852" spans="1:14" x14ac:dyDescent="0.3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6"/>
      <c r="L1852" s="15" t="str">
        <f>IF(E1852="","",IFERROR(INDEX(Aliases!$B$5:$B$80,MATCH(1,INDEX(ISNUMBER(SEARCH(Aliases!$A$5:$A$80,E1852))*(Aliases!$A$5:$A$80&lt;&gt;""),0),0)),"UNMATCHED"))</f>
        <v/>
      </c>
      <c r="M1852" s="16"/>
      <c r="N1852" s="16"/>
    </row>
    <row r="1853" spans="1:14" x14ac:dyDescent="0.3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6"/>
      <c r="L1853" s="15" t="str">
        <f>IF(E1853="","",IFERROR(INDEX(Aliases!$B$5:$B$80,MATCH(1,INDEX(ISNUMBER(SEARCH(Aliases!$A$5:$A$80,E1853))*(Aliases!$A$5:$A$80&lt;&gt;""),0),0)),"UNMATCHED"))</f>
        <v/>
      </c>
      <c r="M1853" s="16"/>
      <c r="N1853" s="16"/>
    </row>
    <row r="1854" spans="1:14" x14ac:dyDescent="0.3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6"/>
      <c r="L1854" s="15" t="str">
        <f>IF(E1854="","",IFERROR(INDEX(Aliases!$B$5:$B$80,MATCH(1,INDEX(ISNUMBER(SEARCH(Aliases!$A$5:$A$80,E1854))*(Aliases!$A$5:$A$80&lt;&gt;""),0),0)),"UNMATCHED"))</f>
        <v/>
      </c>
      <c r="M1854" s="16"/>
      <c r="N1854" s="16"/>
    </row>
    <row r="1855" spans="1:14" x14ac:dyDescent="0.3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6"/>
      <c r="L1855" s="15" t="str">
        <f>IF(E1855="","",IFERROR(INDEX(Aliases!$B$5:$B$80,MATCH(1,INDEX(ISNUMBER(SEARCH(Aliases!$A$5:$A$80,E1855))*(Aliases!$A$5:$A$80&lt;&gt;""),0),0)),"UNMATCHED"))</f>
        <v/>
      </c>
      <c r="M1855" s="16"/>
      <c r="N1855" s="16"/>
    </row>
    <row r="1856" spans="1:14" x14ac:dyDescent="0.3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6"/>
      <c r="L1856" s="15" t="str">
        <f>IF(E1856="","",IFERROR(INDEX(Aliases!$B$5:$B$80,MATCH(1,INDEX(ISNUMBER(SEARCH(Aliases!$A$5:$A$80,E1856))*(Aliases!$A$5:$A$80&lt;&gt;""),0),0)),"UNMATCHED"))</f>
        <v/>
      </c>
      <c r="M1856" s="16"/>
      <c r="N1856" s="16"/>
    </row>
    <row r="1857" spans="1:14" x14ac:dyDescent="0.3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6"/>
      <c r="L1857" s="15" t="str">
        <f>IF(E1857="","",IFERROR(INDEX(Aliases!$B$5:$B$80,MATCH(1,INDEX(ISNUMBER(SEARCH(Aliases!$A$5:$A$80,E1857))*(Aliases!$A$5:$A$80&lt;&gt;""),0),0)),"UNMATCHED"))</f>
        <v/>
      </c>
      <c r="M1857" s="16"/>
      <c r="N1857" s="16"/>
    </row>
    <row r="1858" spans="1:14" x14ac:dyDescent="0.3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6"/>
      <c r="L1858" s="15" t="str">
        <f>IF(E1858="","",IFERROR(INDEX(Aliases!$B$5:$B$80,MATCH(1,INDEX(ISNUMBER(SEARCH(Aliases!$A$5:$A$80,E1858))*(Aliases!$A$5:$A$80&lt;&gt;""),0),0)),"UNMATCHED"))</f>
        <v/>
      </c>
      <c r="M1858" s="16"/>
      <c r="N1858" s="16"/>
    </row>
    <row r="1859" spans="1:14" x14ac:dyDescent="0.3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6"/>
      <c r="L1859" s="15" t="str">
        <f>IF(E1859="","",IFERROR(INDEX(Aliases!$B$5:$B$80,MATCH(1,INDEX(ISNUMBER(SEARCH(Aliases!$A$5:$A$80,E1859))*(Aliases!$A$5:$A$80&lt;&gt;""),0),0)),"UNMATCHED"))</f>
        <v/>
      </c>
      <c r="M1859" s="16"/>
      <c r="N1859" s="16"/>
    </row>
    <row r="1860" spans="1:14" x14ac:dyDescent="0.3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6"/>
      <c r="L1860" s="15" t="str">
        <f>IF(E1860="","",IFERROR(INDEX(Aliases!$B$5:$B$80,MATCH(1,INDEX(ISNUMBER(SEARCH(Aliases!$A$5:$A$80,E1860))*(Aliases!$A$5:$A$80&lt;&gt;""),0),0)),"UNMATCHED"))</f>
        <v/>
      </c>
      <c r="M1860" s="16"/>
      <c r="N1860" s="16"/>
    </row>
    <row r="1861" spans="1:14" x14ac:dyDescent="0.3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6"/>
      <c r="L1861" s="15" t="str">
        <f>IF(E1861="","",IFERROR(INDEX(Aliases!$B$5:$B$80,MATCH(1,INDEX(ISNUMBER(SEARCH(Aliases!$A$5:$A$80,E1861))*(Aliases!$A$5:$A$80&lt;&gt;""),0),0)),"UNMATCHED"))</f>
        <v/>
      </c>
      <c r="M1861" s="16"/>
      <c r="N1861" s="16"/>
    </row>
    <row r="1862" spans="1:14" x14ac:dyDescent="0.3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6"/>
      <c r="L1862" s="15" t="str">
        <f>IF(E1862="","",IFERROR(INDEX(Aliases!$B$5:$B$80,MATCH(1,INDEX(ISNUMBER(SEARCH(Aliases!$A$5:$A$80,E1862))*(Aliases!$A$5:$A$80&lt;&gt;""),0),0)),"UNMATCHED"))</f>
        <v/>
      </c>
      <c r="M1862" s="16"/>
      <c r="N1862" s="16"/>
    </row>
    <row r="1863" spans="1:14" x14ac:dyDescent="0.3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6"/>
      <c r="L1863" s="15" t="str">
        <f>IF(E1863="","",IFERROR(INDEX(Aliases!$B$5:$B$80,MATCH(1,INDEX(ISNUMBER(SEARCH(Aliases!$A$5:$A$80,E1863))*(Aliases!$A$5:$A$80&lt;&gt;""),0),0)),"UNMATCHED"))</f>
        <v/>
      </c>
      <c r="M1863" s="16"/>
      <c r="N1863" s="16"/>
    </row>
    <row r="1864" spans="1:14" x14ac:dyDescent="0.3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6"/>
      <c r="L1864" s="15" t="str">
        <f>IF(E1864="","",IFERROR(INDEX(Aliases!$B$5:$B$80,MATCH(1,INDEX(ISNUMBER(SEARCH(Aliases!$A$5:$A$80,E1864))*(Aliases!$A$5:$A$80&lt;&gt;""),0),0)),"UNMATCHED"))</f>
        <v/>
      </c>
      <c r="M1864" s="16"/>
      <c r="N1864" s="16"/>
    </row>
    <row r="1865" spans="1:14" x14ac:dyDescent="0.3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6"/>
      <c r="L1865" s="15" t="str">
        <f>IF(E1865="","",IFERROR(INDEX(Aliases!$B$5:$B$80,MATCH(1,INDEX(ISNUMBER(SEARCH(Aliases!$A$5:$A$80,E1865))*(Aliases!$A$5:$A$80&lt;&gt;""),0),0)),"UNMATCHED"))</f>
        <v/>
      </c>
      <c r="M1865" s="16"/>
      <c r="N1865" s="16"/>
    </row>
    <row r="1866" spans="1:14" x14ac:dyDescent="0.3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6"/>
      <c r="L1866" s="15" t="str">
        <f>IF(E1866="","",IFERROR(INDEX(Aliases!$B$5:$B$80,MATCH(1,INDEX(ISNUMBER(SEARCH(Aliases!$A$5:$A$80,E1866))*(Aliases!$A$5:$A$80&lt;&gt;""),0),0)),"UNMATCHED"))</f>
        <v/>
      </c>
      <c r="M1866" s="16"/>
      <c r="N1866" s="16"/>
    </row>
    <row r="1867" spans="1:14" x14ac:dyDescent="0.3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6"/>
      <c r="L1867" s="15" t="str">
        <f>IF(E1867="","",IFERROR(INDEX(Aliases!$B$5:$B$80,MATCH(1,INDEX(ISNUMBER(SEARCH(Aliases!$A$5:$A$80,E1867))*(Aliases!$A$5:$A$80&lt;&gt;""),0),0)),"UNMATCHED"))</f>
        <v/>
      </c>
      <c r="M1867" s="16"/>
      <c r="N1867" s="16"/>
    </row>
    <row r="1868" spans="1:14" x14ac:dyDescent="0.3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6"/>
      <c r="L1868" s="15" t="str">
        <f>IF(E1868="","",IFERROR(INDEX(Aliases!$B$5:$B$80,MATCH(1,INDEX(ISNUMBER(SEARCH(Aliases!$A$5:$A$80,E1868))*(Aliases!$A$5:$A$80&lt;&gt;""),0),0)),"UNMATCHED"))</f>
        <v/>
      </c>
      <c r="M1868" s="16"/>
      <c r="N1868" s="16"/>
    </row>
    <row r="1869" spans="1:14" x14ac:dyDescent="0.3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6"/>
      <c r="L1869" s="15" t="str">
        <f>IF(E1869="","",IFERROR(INDEX(Aliases!$B$5:$B$80,MATCH(1,INDEX(ISNUMBER(SEARCH(Aliases!$A$5:$A$80,E1869))*(Aliases!$A$5:$A$80&lt;&gt;""),0),0)),"UNMATCHED"))</f>
        <v/>
      </c>
      <c r="M1869" s="16"/>
      <c r="N1869" s="16"/>
    </row>
    <row r="1870" spans="1:14" x14ac:dyDescent="0.3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6"/>
      <c r="L1870" s="15" t="str">
        <f>IF(E1870="","",IFERROR(INDEX(Aliases!$B$5:$B$80,MATCH(1,INDEX(ISNUMBER(SEARCH(Aliases!$A$5:$A$80,E1870))*(Aliases!$A$5:$A$80&lt;&gt;""),0),0)),"UNMATCHED"))</f>
        <v/>
      </c>
      <c r="M1870" s="16"/>
      <c r="N1870" s="16"/>
    </row>
    <row r="1871" spans="1:14" x14ac:dyDescent="0.3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6"/>
      <c r="L1871" s="15" t="str">
        <f>IF(E1871="","",IFERROR(INDEX(Aliases!$B$5:$B$80,MATCH(1,INDEX(ISNUMBER(SEARCH(Aliases!$A$5:$A$80,E1871))*(Aliases!$A$5:$A$80&lt;&gt;""),0),0)),"UNMATCHED"))</f>
        <v/>
      </c>
      <c r="M1871" s="16"/>
      <c r="N1871" s="16"/>
    </row>
    <row r="1872" spans="1:14" x14ac:dyDescent="0.3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6"/>
      <c r="L1872" s="15" t="str">
        <f>IF(E1872="","",IFERROR(INDEX(Aliases!$B$5:$B$80,MATCH(1,INDEX(ISNUMBER(SEARCH(Aliases!$A$5:$A$80,E1872))*(Aliases!$A$5:$A$80&lt;&gt;""),0),0)),"UNMATCHED"))</f>
        <v/>
      </c>
      <c r="M1872" s="16"/>
      <c r="N1872" s="16"/>
    </row>
    <row r="1873" spans="1:14" x14ac:dyDescent="0.3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6"/>
      <c r="L1873" s="15" t="str">
        <f>IF(E1873="","",IFERROR(INDEX(Aliases!$B$5:$B$80,MATCH(1,INDEX(ISNUMBER(SEARCH(Aliases!$A$5:$A$80,E1873))*(Aliases!$A$5:$A$80&lt;&gt;""),0),0)),"UNMATCHED"))</f>
        <v/>
      </c>
      <c r="M1873" s="16"/>
      <c r="N1873" s="16"/>
    </row>
    <row r="1874" spans="1:14" x14ac:dyDescent="0.3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6"/>
      <c r="L1874" s="15" t="str">
        <f>IF(E1874="","",IFERROR(INDEX(Aliases!$B$5:$B$80,MATCH(1,INDEX(ISNUMBER(SEARCH(Aliases!$A$5:$A$80,E1874))*(Aliases!$A$5:$A$80&lt;&gt;""),0),0)),"UNMATCHED"))</f>
        <v/>
      </c>
      <c r="M1874" s="16"/>
      <c r="N1874" s="16"/>
    </row>
    <row r="1875" spans="1:14" x14ac:dyDescent="0.3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6"/>
      <c r="L1875" s="15" t="str">
        <f>IF(E1875="","",IFERROR(INDEX(Aliases!$B$5:$B$80,MATCH(1,INDEX(ISNUMBER(SEARCH(Aliases!$A$5:$A$80,E1875))*(Aliases!$A$5:$A$80&lt;&gt;""),0),0)),"UNMATCHED"))</f>
        <v/>
      </c>
      <c r="M1875" s="16"/>
      <c r="N1875" s="16"/>
    </row>
    <row r="1876" spans="1:14" x14ac:dyDescent="0.3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6"/>
      <c r="L1876" s="15" t="str">
        <f>IF(E1876="","",IFERROR(INDEX(Aliases!$B$5:$B$80,MATCH(1,INDEX(ISNUMBER(SEARCH(Aliases!$A$5:$A$80,E1876))*(Aliases!$A$5:$A$80&lt;&gt;""),0),0)),"UNMATCHED"))</f>
        <v/>
      </c>
      <c r="M1876" s="16"/>
      <c r="N1876" s="16"/>
    </row>
    <row r="1877" spans="1:14" x14ac:dyDescent="0.3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6"/>
      <c r="L1877" s="15" t="str">
        <f>IF(E1877="","",IFERROR(INDEX(Aliases!$B$5:$B$80,MATCH(1,INDEX(ISNUMBER(SEARCH(Aliases!$A$5:$A$80,E1877))*(Aliases!$A$5:$A$80&lt;&gt;""),0),0)),"UNMATCHED"))</f>
        <v/>
      </c>
      <c r="M1877" s="16"/>
      <c r="N1877" s="16"/>
    </row>
    <row r="1878" spans="1:14" x14ac:dyDescent="0.3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6"/>
      <c r="L1878" s="15" t="str">
        <f>IF(E1878="","",IFERROR(INDEX(Aliases!$B$5:$B$80,MATCH(1,INDEX(ISNUMBER(SEARCH(Aliases!$A$5:$A$80,E1878))*(Aliases!$A$5:$A$80&lt;&gt;""),0),0)),"UNMATCHED"))</f>
        <v/>
      </c>
      <c r="M1878" s="16"/>
      <c r="N1878" s="16"/>
    </row>
    <row r="1879" spans="1:14" x14ac:dyDescent="0.3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6"/>
      <c r="L1879" s="15" t="str">
        <f>IF(E1879="","",IFERROR(INDEX(Aliases!$B$5:$B$80,MATCH(1,INDEX(ISNUMBER(SEARCH(Aliases!$A$5:$A$80,E1879))*(Aliases!$A$5:$A$80&lt;&gt;""),0),0)),"UNMATCHED"))</f>
        <v/>
      </c>
      <c r="M1879" s="16"/>
      <c r="N1879" s="16"/>
    </row>
    <row r="1880" spans="1:14" x14ac:dyDescent="0.3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6"/>
      <c r="L1880" s="15" t="str">
        <f>IF(E1880="","",IFERROR(INDEX(Aliases!$B$5:$B$80,MATCH(1,INDEX(ISNUMBER(SEARCH(Aliases!$A$5:$A$80,E1880))*(Aliases!$A$5:$A$80&lt;&gt;""),0),0)),"UNMATCHED"))</f>
        <v/>
      </c>
      <c r="M1880" s="16"/>
      <c r="N1880" s="16"/>
    </row>
    <row r="1881" spans="1:14" x14ac:dyDescent="0.3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6"/>
      <c r="L1881" s="15" t="str">
        <f>IF(E1881="","",IFERROR(INDEX(Aliases!$B$5:$B$80,MATCH(1,INDEX(ISNUMBER(SEARCH(Aliases!$A$5:$A$80,E1881))*(Aliases!$A$5:$A$80&lt;&gt;""),0),0)),"UNMATCHED"))</f>
        <v/>
      </c>
      <c r="M1881" s="16"/>
      <c r="N1881" s="16"/>
    </row>
    <row r="1882" spans="1:14" x14ac:dyDescent="0.3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6"/>
      <c r="L1882" s="15" t="str">
        <f>IF(E1882="","",IFERROR(INDEX(Aliases!$B$5:$B$80,MATCH(1,INDEX(ISNUMBER(SEARCH(Aliases!$A$5:$A$80,E1882))*(Aliases!$A$5:$A$80&lt;&gt;""),0),0)),"UNMATCHED"))</f>
        <v/>
      </c>
      <c r="M1882" s="16"/>
      <c r="N1882" s="16"/>
    </row>
    <row r="1883" spans="1:14" x14ac:dyDescent="0.3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6"/>
      <c r="L1883" s="15" t="str">
        <f>IF(E1883="","",IFERROR(INDEX(Aliases!$B$5:$B$80,MATCH(1,INDEX(ISNUMBER(SEARCH(Aliases!$A$5:$A$80,E1883))*(Aliases!$A$5:$A$80&lt;&gt;""),0),0)),"UNMATCHED"))</f>
        <v/>
      </c>
      <c r="M1883" s="16"/>
      <c r="N1883" s="16"/>
    </row>
    <row r="1884" spans="1:14" x14ac:dyDescent="0.3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6"/>
      <c r="L1884" s="15" t="str">
        <f>IF(E1884="","",IFERROR(INDEX(Aliases!$B$5:$B$80,MATCH(1,INDEX(ISNUMBER(SEARCH(Aliases!$A$5:$A$80,E1884))*(Aliases!$A$5:$A$80&lt;&gt;""),0),0)),"UNMATCHED"))</f>
        <v/>
      </c>
      <c r="M1884" s="16"/>
      <c r="N1884" s="16"/>
    </row>
    <row r="1885" spans="1:14" x14ac:dyDescent="0.3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6"/>
      <c r="L1885" s="15" t="str">
        <f>IF(E1885="","",IFERROR(INDEX(Aliases!$B$5:$B$80,MATCH(1,INDEX(ISNUMBER(SEARCH(Aliases!$A$5:$A$80,E1885))*(Aliases!$A$5:$A$80&lt;&gt;""),0),0)),"UNMATCHED"))</f>
        <v/>
      </c>
      <c r="M1885" s="16"/>
      <c r="N1885" s="16"/>
    </row>
    <row r="1886" spans="1:14" x14ac:dyDescent="0.3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6"/>
      <c r="L1886" s="15" t="str">
        <f>IF(E1886="","",IFERROR(INDEX(Aliases!$B$5:$B$80,MATCH(1,INDEX(ISNUMBER(SEARCH(Aliases!$A$5:$A$80,E1886))*(Aliases!$A$5:$A$80&lt;&gt;""),0),0)),"UNMATCHED"))</f>
        <v/>
      </c>
      <c r="M1886" s="16"/>
      <c r="N1886" s="16"/>
    </row>
    <row r="1887" spans="1:14" x14ac:dyDescent="0.3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6"/>
      <c r="L1887" s="15" t="str">
        <f>IF(E1887="","",IFERROR(INDEX(Aliases!$B$5:$B$80,MATCH(1,INDEX(ISNUMBER(SEARCH(Aliases!$A$5:$A$80,E1887))*(Aliases!$A$5:$A$80&lt;&gt;""),0),0)),"UNMATCHED"))</f>
        <v/>
      </c>
      <c r="M1887" s="16"/>
      <c r="N1887" s="16"/>
    </row>
    <row r="1888" spans="1:14" x14ac:dyDescent="0.3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6"/>
      <c r="L1888" s="15" t="str">
        <f>IF(E1888="","",IFERROR(INDEX(Aliases!$B$5:$B$80,MATCH(1,INDEX(ISNUMBER(SEARCH(Aliases!$A$5:$A$80,E1888))*(Aliases!$A$5:$A$80&lt;&gt;""),0),0)),"UNMATCHED"))</f>
        <v/>
      </c>
      <c r="M1888" s="16"/>
      <c r="N1888" s="16"/>
    </row>
    <row r="1889" spans="1:14" x14ac:dyDescent="0.3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6"/>
      <c r="L1889" s="15" t="str">
        <f>IF(E1889="","",IFERROR(INDEX(Aliases!$B$5:$B$80,MATCH(1,INDEX(ISNUMBER(SEARCH(Aliases!$A$5:$A$80,E1889))*(Aliases!$A$5:$A$80&lt;&gt;""),0),0)),"UNMATCHED"))</f>
        <v/>
      </c>
      <c r="M1889" s="16"/>
      <c r="N1889" s="16"/>
    </row>
    <row r="1890" spans="1:14" x14ac:dyDescent="0.3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6"/>
      <c r="L1890" s="15" t="str">
        <f>IF(E1890="","",IFERROR(INDEX(Aliases!$B$5:$B$80,MATCH(1,INDEX(ISNUMBER(SEARCH(Aliases!$A$5:$A$80,E1890))*(Aliases!$A$5:$A$80&lt;&gt;""),0),0)),"UNMATCHED"))</f>
        <v/>
      </c>
      <c r="M1890" s="16"/>
      <c r="N1890" s="16"/>
    </row>
    <row r="1891" spans="1:14" x14ac:dyDescent="0.3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6"/>
      <c r="L1891" s="15" t="str">
        <f>IF(E1891="","",IFERROR(INDEX(Aliases!$B$5:$B$80,MATCH(1,INDEX(ISNUMBER(SEARCH(Aliases!$A$5:$A$80,E1891))*(Aliases!$A$5:$A$80&lt;&gt;""),0),0)),"UNMATCHED"))</f>
        <v/>
      </c>
      <c r="M1891" s="16"/>
      <c r="N1891" s="16"/>
    </row>
    <row r="1892" spans="1:14" x14ac:dyDescent="0.3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6"/>
      <c r="L1892" s="15" t="str">
        <f>IF(E1892="","",IFERROR(INDEX(Aliases!$B$5:$B$80,MATCH(1,INDEX(ISNUMBER(SEARCH(Aliases!$A$5:$A$80,E1892))*(Aliases!$A$5:$A$80&lt;&gt;""),0),0)),"UNMATCHED"))</f>
        <v/>
      </c>
      <c r="M1892" s="16"/>
      <c r="N1892" s="16"/>
    </row>
    <row r="1893" spans="1:14" x14ac:dyDescent="0.3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6"/>
      <c r="L1893" s="15" t="str">
        <f>IF(E1893="","",IFERROR(INDEX(Aliases!$B$5:$B$80,MATCH(1,INDEX(ISNUMBER(SEARCH(Aliases!$A$5:$A$80,E1893))*(Aliases!$A$5:$A$80&lt;&gt;""),0),0)),"UNMATCHED"))</f>
        <v/>
      </c>
      <c r="M1893" s="16"/>
      <c r="N1893" s="16"/>
    </row>
    <row r="1894" spans="1:14" x14ac:dyDescent="0.3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6"/>
      <c r="L1894" s="15" t="str">
        <f>IF(E1894="","",IFERROR(INDEX(Aliases!$B$5:$B$80,MATCH(1,INDEX(ISNUMBER(SEARCH(Aliases!$A$5:$A$80,E1894))*(Aliases!$A$5:$A$80&lt;&gt;""),0),0)),"UNMATCHED"))</f>
        <v/>
      </c>
      <c r="M1894" s="16"/>
      <c r="N1894" s="16"/>
    </row>
    <row r="1895" spans="1:14" x14ac:dyDescent="0.3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6"/>
      <c r="L1895" s="15" t="str">
        <f>IF(E1895="","",IFERROR(INDEX(Aliases!$B$5:$B$80,MATCH(1,INDEX(ISNUMBER(SEARCH(Aliases!$A$5:$A$80,E1895))*(Aliases!$A$5:$A$80&lt;&gt;""),0),0)),"UNMATCHED"))</f>
        <v/>
      </c>
      <c r="M1895" s="16"/>
      <c r="N1895" s="16"/>
    </row>
    <row r="1896" spans="1:14" x14ac:dyDescent="0.3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6"/>
      <c r="L1896" s="15" t="str">
        <f>IF(E1896="","",IFERROR(INDEX(Aliases!$B$5:$B$80,MATCH(1,INDEX(ISNUMBER(SEARCH(Aliases!$A$5:$A$80,E1896))*(Aliases!$A$5:$A$80&lt;&gt;""),0),0)),"UNMATCHED"))</f>
        <v/>
      </c>
      <c r="M1896" s="16"/>
      <c r="N1896" s="16"/>
    </row>
    <row r="1897" spans="1:14" x14ac:dyDescent="0.3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6"/>
      <c r="L1897" s="15" t="str">
        <f>IF(E1897="","",IFERROR(INDEX(Aliases!$B$5:$B$80,MATCH(1,INDEX(ISNUMBER(SEARCH(Aliases!$A$5:$A$80,E1897))*(Aliases!$A$5:$A$80&lt;&gt;""),0),0)),"UNMATCHED"))</f>
        <v/>
      </c>
      <c r="M1897" s="16"/>
      <c r="N1897" s="16"/>
    </row>
    <row r="1898" spans="1:14" x14ac:dyDescent="0.3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6"/>
      <c r="L1898" s="15" t="str">
        <f>IF(E1898="","",IFERROR(INDEX(Aliases!$B$5:$B$80,MATCH(1,INDEX(ISNUMBER(SEARCH(Aliases!$A$5:$A$80,E1898))*(Aliases!$A$5:$A$80&lt;&gt;""),0),0)),"UNMATCHED"))</f>
        <v/>
      </c>
      <c r="M1898" s="16"/>
      <c r="N1898" s="16"/>
    </row>
    <row r="1899" spans="1:14" x14ac:dyDescent="0.3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6"/>
      <c r="L1899" s="15" t="str">
        <f>IF(E1899="","",IFERROR(INDEX(Aliases!$B$5:$B$80,MATCH(1,INDEX(ISNUMBER(SEARCH(Aliases!$A$5:$A$80,E1899))*(Aliases!$A$5:$A$80&lt;&gt;""),0),0)),"UNMATCHED"))</f>
        <v/>
      </c>
      <c r="M1899" s="16"/>
      <c r="N1899" s="16"/>
    </row>
    <row r="1900" spans="1:14" x14ac:dyDescent="0.3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6"/>
      <c r="L1900" s="15" t="str">
        <f>IF(E1900="","",IFERROR(INDEX(Aliases!$B$5:$B$80,MATCH(1,INDEX(ISNUMBER(SEARCH(Aliases!$A$5:$A$80,E1900))*(Aliases!$A$5:$A$80&lt;&gt;""),0),0)),"UNMATCHED"))</f>
        <v/>
      </c>
      <c r="M1900" s="16"/>
      <c r="N1900" s="16"/>
    </row>
    <row r="1901" spans="1:14" x14ac:dyDescent="0.3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6"/>
      <c r="L1901" s="15" t="str">
        <f>IF(E1901="","",IFERROR(INDEX(Aliases!$B$5:$B$80,MATCH(1,INDEX(ISNUMBER(SEARCH(Aliases!$A$5:$A$80,E1901))*(Aliases!$A$5:$A$80&lt;&gt;""),0),0)),"UNMATCHED"))</f>
        <v/>
      </c>
      <c r="M1901" s="16"/>
      <c r="N1901" s="16"/>
    </row>
    <row r="1902" spans="1:14" x14ac:dyDescent="0.3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6"/>
      <c r="L1902" s="15" t="str">
        <f>IF(E1902="","",IFERROR(INDEX(Aliases!$B$5:$B$80,MATCH(1,INDEX(ISNUMBER(SEARCH(Aliases!$A$5:$A$80,E1902))*(Aliases!$A$5:$A$80&lt;&gt;""),0),0)),"UNMATCHED"))</f>
        <v/>
      </c>
      <c r="M1902" s="16"/>
      <c r="N1902" s="16"/>
    </row>
    <row r="1903" spans="1:14" x14ac:dyDescent="0.3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6"/>
      <c r="L1903" s="15" t="str">
        <f>IF(E1903="","",IFERROR(INDEX(Aliases!$B$5:$B$80,MATCH(1,INDEX(ISNUMBER(SEARCH(Aliases!$A$5:$A$80,E1903))*(Aliases!$A$5:$A$80&lt;&gt;""),0),0)),"UNMATCHED"))</f>
        <v/>
      </c>
      <c r="M1903" s="16"/>
      <c r="N1903" s="16"/>
    </row>
    <row r="1904" spans="1:14" x14ac:dyDescent="0.3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6"/>
      <c r="L1904" s="15" t="str">
        <f>IF(E1904="","",IFERROR(INDEX(Aliases!$B$5:$B$80,MATCH(1,INDEX(ISNUMBER(SEARCH(Aliases!$A$5:$A$80,E1904))*(Aliases!$A$5:$A$80&lt;&gt;""),0),0)),"UNMATCHED"))</f>
        <v/>
      </c>
      <c r="M1904" s="16"/>
      <c r="N1904" s="16"/>
    </row>
    <row r="1905" spans="1:14" x14ac:dyDescent="0.3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6"/>
      <c r="L1905" s="15" t="str">
        <f>IF(E1905="","",IFERROR(INDEX(Aliases!$B$5:$B$80,MATCH(1,INDEX(ISNUMBER(SEARCH(Aliases!$A$5:$A$80,E1905))*(Aliases!$A$5:$A$80&lt;&gt;""),0),0)),"UNMATCHED"))</f>
        <v/>
      </c>
      <c r="M1905" s="16"/>
      <c r="N1905" s="16"/>
    </row>
    <row r="1906" spans="1:14" x14ac:dyDescent="0.3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6"/>
      <c r="L1906" s="15" t="str">
        <f>IF(E1906="","",IFERROR(INDEX(Aliases!$B$5:$B$80,MATCH(1,INDEX(ISNUMBER(SEARCH(Aliases!$A$5:$A$80,E1906))*(Aliases!$A$5:$A$80&lt;&gt;""),0),0)),"UNMATCHED"))</f>
        <v/>
      </c>
      <c r="M1906" s="16"/>
      <c r="N1906" s="16"/>
    </row>
    <row r="1907" spans="1:14" x14ac:dyDescent="0.3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6"/>
      <c r="L1907" s="15" t="str">
        <f>IF(E1907="","",IFERROR(INDEX(Aliases!$B$5:$B$80,MATCH(1,INDEX(ISNUMBER(SEARCH(Aliases!$A$5:$A$80,E1907))*(Aliases!$A$5:$A$80&lt;&gt;""),0),0)),"UNMATCHED"))</f>
        <v/>
      </c>
      <c r="M1907" s="16"/>
      <c r="N1907" s="16"/>
    </row>
    <row r="1908" spans="1:14" x14ac:dyDescent="0.3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6"/>
      <c r="L1908" s="15" t="str">
        <f>IF(E1908="","",IFERROR(INDEX(Aliases!$B$5:$B$80,MATCH(1,INDEX(ISNUMBER(SEARCH(Aliases!$A$5:$A$80,E1908))*(Aliases!$A$5:$A$80&lt;&gt;""),0),0)),"UNMATCHED"))</f>
        <v/>
      </c>
      <c r="M1908" s="16"/>
      <c r="N1908" s="16"/>
    </row>
    <row r="1909" spans="1:14" x14ac:dyDescent="0.3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6"/>
      <c r="L1909" s="15" t="str">
        <f>IF(E1909="","",IFERROR(INDEX(Aliases!$B$5:$B$80,MATCH(1,INDEX(ISNUMBER(SEARCH(Aliases!$A$5:$A$80,E1909))*(Aliases!$A$5:$A$80&lt;&gt;""),0),0)),"UNMATCHED"))</f>
        <v/>
      </c>
      <c r="M1909" s="16"/>
      <c r="N1909" s="16"/>
    </row>
    <row r="1910" spans="1:14" x14ac:dyDescent="0.3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6"/>
      <c r="L1910" s="15" t="str">
        <f>IF(E1910="","",IFERROR(INDEX(Aliases!$B$5:$B$80,MATCH(1,INDEX(ISNUMBER(SEARCH(Aliases!$A$5:$A$80,E1910))*(Aliases!$A$5:$A$80&lt;&gt;""),0),0)),"UNMATCHED"))</f>
        <v/>
      </c>
      <c r="M1910" s="16"/>
      <c r="N1910" s="16"/>
    </row>
    <row r="1911" spans="1:14" x14ac:dyDescent="0.3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6"/>
      <c r="L1911" s="15" t="str">
        <f>IF(E1911="","",IFERROR(INDEX(Aliases!$B$5:$B$80,MATCH(1,INDEX(ISNUMBER(SEARCH(Aliases!$A$5:$A$80,E1911))*(Aliases!$A$5:$A$80&lt;&gt;""),0),0)),"UNMATCHED"))</f>
        <v/>
      </c>
      <c r="M1911" s="16"/>
      <c r="N1911" s="16"/>
    </row>
    <row r="1912" spans="1:14" x14ac:dyDescent="0.3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6"/>
      <c r="L1912" s="15" t="str">
        <f>IF(E1912="","",IFERROR(INDEX(Aliases!$B$5:$B$80,MATCH(1,INDEX(ISNUMBER(SEARCH(Aliases!$A$5:$A$80,E1912))*(Aliases!$A$5:$A$80&lt;&gt;""),0),0)),"UNMATCHED"))</f>
        <v/>
      </c>
      <c r="M1912" s="16"/>
      <c r="N1912" s="16"/>
    </row>
    <row r="1913" spans="1:14" x14ac:dyDescent="0.3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6"/>
      <c r="L1913" s="15" t="str">
        <f>IF(E1913="","",IFERROR(INDEX(Aliases!$B$5:$B$80,MATCH(1,INDEX(ISNUMBER(SEARCH(Aliases!$A$5:$A$80,E1913))*(Aliases!$A$5:$A$80&lt;&gt;""),0),0)),"UNMATCHED"))</f>
        <v/>
      </c>
      <c r="M1913" s="16"/>
      <c r="N1913" s="16"/>
    </row>
    <row r="1914" spans="1:14" x14ac:dyDescent="0.3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6"/>
      <c r="L1914" s="15" t="str">
        <f>IF(E1914="","",IFERROR(INDEX(Aliases!$B$5:$B$80,MATCH(1,INDEX(ISNUMBER(SEARCH(Aliases!$A$5:$A$80,E1914))*(Aliases!$A$5:$A$80&lt;&gt;""),0),0)),"UNMATCHED"))</f>
        <v/>
      </c>
      <c r="M1914" s="16"/>
      <c r="N1914" s="16"/>
    </row>
    <row r="1915" spans="1:14" x14ac:dyDescent="0.3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6"/>
      <c r="L1915" s="15" t="str">
        <f>IF(E1915="","",IFERROR(INDEX(Aliases!$B$5:$B$80,MATCH(1,INDEX(ISNUMBER(SEARCH(Aliases!$A$5:$A$80,E1915))*(Aliases!$A$5:$A$80&lt;&gt;""),0),0)),"UNMATCHED"))</f>
        <v/>
      </c>
      <c r="M1915" s="16"/>
      <c r="N1915" s="16"/>
    </row>
    <row r="1916" spans="1:14" x14ac:dyDescent="0.3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6"/>
      <c r="L1916" s="15" t="str">
        <f>IF(E1916="","",IFERROR(INDEX(Aliases!$B$5:$B$80,MATCH(1,INDEX(ISNUMBER(SEARCH(Aliases!$A$5:$A$80,E1916))*(Aliases!$A$5:$A$80&lt;&gt;""),0),0)),"UNMATCHED"))</f>
        <v/>
      </c>
      <c r="M1916" s="16"/>
      <c r="N1916" s="16"/>
    </row>
    <row r="1917" spans="1:14" x14ac:dyDescent="0.3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6"/>
      <c r="L1917" s="15" t="str">
        <f>IF(E1917="","",IFERROR(INDEX(Aliases!$B$5:$B$80,MATCH(1,INDEX(ISNUMBER(SEARCH(Aliases!$A$5:$A$80,E1917))*(Aliases!$A$5:$A$80&lt;&gt;""),0),0)),"UNMATCHED"))</f>
        <v/>
      </c>
      <c r="M1917" s="16"/>
      <c r="N1917" s="16"/>
    </row>
    <row r="1918" spans="1:14" x14ac:dyDescent="0.3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6"/>
      <c r="L1918" s="15" t="str">
        <f>IF(E1918="","",IFERROR(INDEX(Aliases!$B$5:$B$80,MATCH(1,INDEX(ISNUMBER(SEARCH(Aliases!$A$5:$A$80,E1918))*(Aliases!$A$5:$A$80&lt;&gt;""),0),0)),"UNMATCHED"))</f>
        <v/>
      </c>
      <c r="M1918" s="16"/>
      <c r="N1918" s="16"/>
    </row>
    <row r="1919" spans="1:14" x14ac:dyDescent="0.3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6"/>
      <c r="L1919" s="15" t="str">
        <f>IF(E1919="","",IFERROR(INDEX(Aliases!$B$5:$B$80,MATCH(1,INDEX(ISNUMBER(SEARCH(Aliases!$A$5:$A$80,E1919))*(Aliases!$A$5:$A$80&lt;&gt;""),0),0)),"UNMATCHED"))</f>
        <v/>
      </c>
      <c r="M1919" s="16"/>
      <c r="N1919" s="16"/>
    </row>
    <row r="1920" spans="1:14" x14ac:dyDescent="0.3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6"/>
      <c r="L1920" s="15" t="str">
        <f>IF(E1920="","",IFERROR(INDEX(Aliases!$B$5:$B$80,MATCH(1,INDEX(ISNUMBER(SEARCH(Aliases!$A$5:$A$80,E1920))*(Aliases!$A$5:$A$80&lt;&gt;""),0),0)),"UNMATCHED"))</f>
        <v/>
      </c>
      <c r="M1920" s="16"/>
      <c r="N1920" s="16"/>
    </row>
    <row r="1921" spans="1:14" x14ac:dyDescent="0.3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6"/>
      <c r="L1921" s="15" t="str">
        <f>IF(E1921="","",IFERROR(INDEX(Aliases!$B$5:$B$80,MATCH(1,INDEX(ISNUMBER(SEARCH(Aliases!$A$5:$A$80,E1921))*(Aliases!$A$5:$A$80&lt;&gt;""),0),0)),"UNMATCHED"))</f>
        <v/>
      </c>
      <c r="M1921" s="16"/>
      <c r="N1921" s="16"/>
    </row>
    <row r="1922" spans="1:14" x14ac:dyDescent="0.3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6"/>
      <c r="L1922" s="15" t="str">
        <f>IF(E1922="","",IFERROR(INDEX(Aliases!$B$5:$B$80,MATCH(1,INDEX(ISNUMBER(SEARCH(Aliases!$A$5:$A$80,E1922))*(Aliases!$A$5:$A$80&lt;&gt;""),0),0)),"UNMATCHED"))</f>
        <v/>
      </c>
      <c r="M1922" s="16"/>
      <c r="N1922" s="16"/>
    </row>
    <row r="1923" spans="1:14" x14ac:dyDescent="0.3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6"/>
      <c r="L1923" s="15" t="str">
        <f>IF(E1923="","",IFERROR(INDEX(Aliases!$B$5:$B$80,MATCH(1,INDEX(ISNUMBER(SEARCH(Aliases!$A$5:$A$80,E1923))*(Aliases!$A$5:$A$80&lt;&gt;""),0),0)),"UNMATCHED"))</f>
        <v/>
      </c>
      <c r="M1923" s="16"/>
      <c r="N1923" s="16"/>
    </row>
    <row r="1924" spans="1:14" x14ac:dyDescent="0.3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6"/>
      <c r="L1924" s="15" t="str">
        <f>IF(E1924="","",IFERROR(INDEX(Aliases!$B$5:$B$80,MATCH(1,INDEX(ISNUMBER(SEARCH(Aliases!$A$5:$A$80,E1924))*(Aliases!$A$5:$A$80&lt;&gt;""),0),0)),"UNMATCHED"))</f>
        <v/>
      </c>
      <c r="M1924" s="16"/>
      <c r="N1924" s="16"/>
    </row>
    <row r="1925" spans="1:14" x14ac:dyDescent="0.3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6"/>
      <c r="L1925" s="15" t="str">
        <f>IF(E1925="","",IFERROR(INDEX(Aliases!$B$5:$B$80,MATCH(1,INDEX(ISNUMBER(SEARCH(Aliases!$A$5:$A$80,E1925))*(Aliases!$A$5:$A$80&lt;&gt;""),0),0)),"UNMATCHED"))</f>
        <v/>
      </c>
      <c r="M1925" s="16"/>
      <c r="N1925" s="16"/>
    </row>
    <row r="1926" spans="1:14" x14ac:dyDescent="0.3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6"/>
      <c r="L1926" s="15" t="str">
        <f>IF(E1926="","",IFERROR(INDEX(Aliases!$B$5:$B$80,MATCH(1,INDEX(ISNUMBER(SEARCH(Aliases!$A$5:$A$80,E1926))*(Aliases!$A$5:$A$80&lt;&gt;""),0),0)),"UNMATCHED"))</f>
        <v/>
      </c>
      <c r="M1926" s="16"/>
      <c r="N1926" s="16"/>
    </row>
    <row r="1927" spans="1:14" x14ac:dyDescent="0.3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6"/>
      <c r="L1927" s="15" t="str">
        <f>IF(E1927="","",IFERROR(INDEX(Aliases!$B$5:$B$80,MATCH(1,INDEX(ISNUMBER(SEARCH(Aliases!$A$5:$A$80,E1927))*(Aliases!$A$5:$A$80&lt;&gt;""),0),0)),"UNMATCHED"))</f>
        <v/>
      </c>
      <c r="M1927" s="16"/>
      <c r="N1927" s="16"/>
    </row>
    <row r="1928" spans="1:14" x14ac:dyDescent="0.3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6"/>
      <c r="L1928" s="15" t="str">
        <f>IF(E1928="","",IFERROR(INDEX(Aliases!$B$5:$B$80,MATCH(1,INDEX(ISNUMBER(SEARCH(Aliases!$A$5:$A$80,E1928))*(Aliases!$A$5:$A$80&lt;&gt;""),0),0)),"UNMATCHED"))</f>
        <v/>
      </c>
      <c r="M1928" s="16"/>
      <c r="N1928" s="16"/>
    </row>
    <row r="1929" spans="1:14" x14ac:dyDescent="0.3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6"/>
      <c r="L1929" s="15" t="str">
        <f>IF(E1929="","",IFERROR(INDEX(Aliases!$B$5:$B$80,MATCH(1,INDEX(ISNUMBER(SEARCH(Aliases!$A$5:$A$80,E1929))*(Aliases!$A$5:$A$80&lt;&gt;""),0),0)),"UNMATCHED"))</f>
        <v/>
      </c>
      <c r="M1929" s="16"/>
      <c r="N1929" s="16"/>
    </row>
    <row r="1930" spans="1:14" x14ac:dyDescent="0.3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6"/>
      <c r="L1930" s="15" t="str">
        <f>IF(E1930="","",IFERROR(INDEX(Aliases!$B$5:$B$80,MATCH(1,INDEX(ISNUMBER(SEARCH(Aliases!$A$5:$A$80,E1930))*(Aliases!$A$5:$A$80&lt;&gt;""),0),0)),"UNMATCHED"))</f>
        <v/>
      </c>
      <c r="M1930" s="16"/>
      <c r="N1930" s="16"/>
    </row>
    <row r="1931" spans="1:14" x14ac:dyDescent="0.3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6"/>
      <c r="L1931" s="15" t="str">
        <f>IF(E1931="","",IFERROR(INDEX(Aliases!$B$5:$B$80,MATCH(1,INDEX(ISNUMBER(SEARCH(Aliases!$A$5:$A$80,E1931))*(Aliases!$A$5:$A$80&lt;&gt;""),0),0)),"UNMATCHED"))</f>
        <v/>
      </c>
      <c r="M1931" s="16"/>
      <c r="N1931" s="16"/>
    </row>
    <row r="1932" spans="1:14" x14ac:dyDescent="0.3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6"/>
      <c r="L1932" s="15" t="str">
        <f>IF(E1932="","",IFERROR(INDEX(Aliases!$B$5:$B$80,MATCH(1,INDEX(ISNUMBER(SEARCH(Aliases!$A$5:$A$80,E1932))*(Aliases!$A$5:$A$80&lt;&gt;""),0),0)),"UNMATCHED"))</f>
        <v/>
      </c>
      <c r="M1932" s="16"/>
      <c r="N1932" s="16"/>
    </row>
    <row r="1933" spans="1:14" x14ac:dyDescent="0.3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6"/>
      <c r="L1933" s="15" t="str">
        <f>IF(E1933="","",IFERROR(INDEX(Aliases!$B$5:$B$80,MATCH(1,INDEX(ISNUMBER(SEARCH(Aliases!$A$5:$A$80,E1933))*(Aliases!$A$5:$A$80&lt;&gt;""),0),0)),"UNMATCHED"))</f>
        <v/>
      </c>
      <c r="M1933" s="16"/>
      <c r="N1933" s="16"/>
    </row>
    <row r="1934" spans="1:14" x14ac:dyDescent="0.3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6"/>
      <c r="L1934" s="15" t="str">
        <f>IF(E1934="","",IFERROR(INDEX(Aliases!$B$5:$B$80,MATCH(1,INDEX(ISNUMBER(SEARCH(Aliases!$A$5:$A$80,E1934))*(Aliases!$A$5:$A$80&lt;&gt;""),0),0)),"UNMATCHED"))</f>
        <v/>
      </c>
      <c r="M1934" s="16"/>
      <c r="N1934" s="16"/>
    </row>
    <row r="1935" spans="1:14" x14ac:dyDescent="0.3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6"/>
      <c r="L1935" s="15" t="str">
        <f>IF(E1935="","",IFERROR(INDEX(Aliases!$B$5:$B$80,MATCH(1,INDEX(ISNUMBER(SEARCH(Aliases!$A$5:$A$80,E1935))*(Aliases!$A$5:$A$80&lt;&gt;""),0),0)),"UNMATCHED"))</f>
        <v/>
      </c>
      <c r="M1935" s="16"/>
      <c r="N1935" s="16"/>
    </row>
    <row r="1936" spans="1:14" x14ac:dyDescent="0.3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6"/>
      <c r="L1936" s="15" t="str">
        <f>IF(E1936="","",IFERROR(INDEX(Aliases!$B$5:$B$80,MATCH(1,INDEX(ISNUMBER(SEARCH(Aliases!$A$5:$A$80,E1936))*(Aliases!$A$5:$A$80&lt;&gt;""),0),0)),"UNMATCHED"))</f>
        <v/>
      </c>
      <c r="M1936" s="16"/>
      <c r="N1936" s="16"/>
    </row>
    <row r="1937" spans="1:14" x14ac:dyDescent="0.3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6"/>
      <c r="L1937" s="15" t="str">
        <f>IF(E1937="","",IFERROR(INDEX(Aliases!$B$5:$B$80,MATCH(1,INDEX(ISNUMBER(SEARCH(Aliases!$A$5:$A$80,E1937))*(Aliases!$A$5:$A$80&lt;&gt;""),0),0)),"UNMATCHED"))</f>
        <v/>
      </c>
      <c r="M1937" s="16"/>
      <c r="N1937" s="16"/>
    </row>
    <row r="1938" spans="1:14" x14ac:dyDescent="0.3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6"/>
      <c r="L1938" s="15" t="str">
        <f>IF(E1938="","",IFERROR(INDEX(Aliases!$B$5:$B$80,MATCH(1,INDEX(ISNUMBER(SEARCH(Aliases!$A$5:$A$80,E1938))*(Aliases!$A$5:$A$80&lt;&gt;""),0),0)),"UNMATCHED"))</f>
        <v/>
      </c>
      <c r="M1938" s="16"/>
      <c r="N1938" s="16"/>
    </row>
    <row r="1939" spans="1:14" x14ac:dyDescent="0.3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6"/>
      <c r="L1939" s="15" t="str">
        <f>IF(E1939="","",IFERROR(INDEX(Aliases!$B$5:$B$80,MATCH(1,INDEX(ISNUMBER(SEARCH(Aliases!$A$5:$A$80,E1939))*(Aliases!$A$5:$A$80&lt;&gt;""),0),0)),"UNMATCHED"))</f>
        <v/>
      </c>
      <c r="M1939" s="16"/>
      <c r="N1939" s="16"/>
    </row>
    <row r="1940" spans="1:14" x14ac:dyDescent="0.3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6"/>
      <c r="L1940" s="15" t="str">
        <f>IF(E1940="","",IFERROR(INDEX(Aliases!$B$5:$B$80,MATCH(1,INDEX(ISNUMBER(SEARCH(Aliases!$A$5:$A$80,E1940))*(Aliases!$A$5:$A$80&lt;&gt;""),0),0)),"UNMATCHED"))</f>
        <v/>
      </c>
      <c r="M1940" s="16"/>
      <c r="N1940" s="16"/>
    </row>
    <row r="1941" spans="1:14" x14ac:dyDescent="0.3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6"/>
      <c r="L1941" s="15" t="str">
        <f>IF(E1941="","",IFERROR(INDEX(Aliases!$B$5:$B$80,MATCH(1,INDEX(ISNUMBER(SEARCH(Aliases!$A$5:$A$80,E1941))*(Aliases!$A$5:$A$80&lt;&gt;""),0),0)),"UNMATCHED"))</f>
        <v/>
      </c>
      <c r="M1941" s="16"/>
      <c r="N1941" s="16"/>
    </row>
    <row r="1942" spans="1:14" x14ac:dyDescent="0.3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6"/>
      <c r="L1942" s="15" t="str">
        <f>IF(E1942="","",IFERROR(INDEX(Aliases!$B$5:$B$80,MATCH(1,INDEX(ISNUMBER(SEARCH(Aliases!$A$5:$A$80,E1942))*(Aliases!$A$5:$A$80&lt;&gt;""),0),0)),"UNMATCHED"))</f>
        <v/>
      </c>
      <c r="M1942" s="16"/>
      <c r="N1942" s="16"/>
    </row>
    <row r="1943" spans="1:14" x14ac:dyDescent="0.3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6"/>
      <c r="L1943" s="15" t="str">
        <f>IF(E1943="","",IFERROR(INDEX(Aliases!$B$5:$B$80,MATCH(1,INDEX(ISNUMBER(SEARCH(Aliases!$A$5:$A$80,E1943))*(Aliases!$A$5:$A$80&lt;&gt;""),0),0)),"UNMATCHED"))</f>
        <v/>
      </c>
      <c r="M1943" s="16"/>
      <c r="N1943" s="16"/>
    </row>
    <row r="1944" spans="1:14" x14ac:dyDescent="0.3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6"/>
      <c r="L1944" s="15" t="str">
        <f>IF(E1944="","",IFERROR(INDEX(Aliases!$B$5:$B$80,MATCH(1,INDEX(ISNUMBER(SEARCH(Aliases!$A$5:$A$80,E1944))*(Aliases!$A$5:$A$80&lt;&gt;""),0),0)),"UNMATCHED"))</f>
        <v/>
      </c>
      <c r="M1944" s="16"/>
      <c r="N1944" s="16"/>
    </row>
    <row r="1945" spans="1:14" x14ac:dyDescent="0.3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6"/>
      <c r="L1945" s="15" t="str">
        <f>IF(E1945="","",IFERROR(INDEX(Aliases!$B$5:$B$80,MATCH(1,INDEX(ISNUMBER(SEARCH(Aliases!$A$5:$A$80,E1945))*(Aliases!$A$5:$A$80&lt;&gt;""),0),0)),"UNMATCHED"))</f>
        <v/>
      </c>
      <c r="M1945" s="16"/>
      <c r="N1945" s="16"/>
    </row>
    <row r="1946" spans="1:14" x14ac:dyDescent="0.3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6"/>
      <c r="L1946" s="15" t="str">
        <f>IF(E1946="","",IFERROR(INDEX(Aliases!$B$5:$B$80,MATCH(1,INDEX(ISNUMBER(SEARCH(Aliases!$A$5:$A$80,E1946))*(Aliases!$A$5:$A$80&lt;&gt;""),0),0)),"UNMATCHED"))</f>
        <v/>
      </c>
      <c r="M1946" s="16"/>
      <c r="N1946" s="16"/>
    </row>
    <row r="1947" spans="1:14" x14ac:dyDescent="0.3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6"/>
      <c r="L1947" s="15" t="str">
        <f>IF(E1947="","",IFERROR(INDEX(Aliases!$B$5:$B$80,MATCH(1,INDEX(ISNUMBER(SEARCH(Aliases!$A$5:$A$80,E1947))*(Aliases!$A$5:$A$80&lt;&gt;""),0),0)),"UNMATCHED"))</f>
        <v/>
      </c>
      <c r="M1947" s="16"/>
      <c r="N1947" s="16"/>
    </row>
    <row r="1948" spans="1:14" x14ac:dyDescent="0.3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6"/>
      <c r="L1948" s="15" t="str">
        <f>IF(E1948="","",IFERROR(INDEX(Aliases!$B$5:$B$80,MATCH(1,INDEX(ISNUMBER(SEARCH(Aliases!$A$5:$A$80,E1948))*(Aliases!$A$5:$A$80&lt;&gt;""),0),0)),"UNMATCHED"))</f>
        <v/>
      </c>
      <c r="M1948" s="16"/>
      <c r="N1948" s="16"/>
    </row>
    <row r="1949" spans="1:14" x14ac:dyDescent="0.3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6"/>
      <c r="L1949" s="15" t="str">
        <f>IF(E1949="","",IFERROR(INDEX(Aliases!$B$5:$B$80,MATCH(1,INDEX(ISNUMBER(SEARCH(Aliases!$A$5:$A$80,E1949))*(Aliases!$A$5:$A$80&lt;&gt;""),0),0)),"UNMATCHED"))</f>
        <v/>
      </c>
      <c r="M1949" s="16"/>
      <c r="N1949" s="16"/>
    </row>
    <row r="1950" spans="1:14" x14ac:dyDescent="0.3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6"/>
      <c r="L1950" s="15" t="str">
        <f>IF(E1950="","",IFERROR(INDEX(Aliases!$B$5:$B$80,MATCH(1,INDEX(ISNUMBER(SEARCH(Aliases!$A$5:$A$80,E1950))*(Aliases!$A$5:$A$80&lt;&gt;""),0),0)),"UNMATCHED"))</f>
        <v/>
      </c>
      <c r="M1950" s="16"/>
      <c r="N1950" s="16"/>
    </row>
    <row r="1951" spans="1:14" x14ac:dyDescent="0.3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6"/>
      <c r="L1951" s="15" t="str">
        <f>IF(E1951="","",IFERROR(INDEX(Aliases!$B$5:$B$80,MATCH(1,INDEX(ISNUMBER(SEARCH(Aliases!$A$5:$A$80,E1951))*(Aliases!$A$5:$A$80&lt;&gt;""),0),0)),"UNMATCHED"))</f>
        <v/>
      </c>
      <c r="M1951" s="16"/>
      <c r="N1951" s="16"/>
    </row>
    <row r="1952" spans="1:14" x14ac:dyDescent="0.3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6"/>
      <c r="L1952" s="15" t="str">
        <f>IF(E1952="","",IFERROR(INDEX(Aliases!$B$5:$B$80,MATCH(1,INDEX(ISNUMBER(SEARCH(Aliases!$A$5:$A$80,E1952))*(Aliases!$A$5:$A$80&lt;&gt;""),0),0)),"UNMATCHED"))</f>
        <v/>
      </c>
      <c r="M1952" s="16"/>
      <c r="N1952" s="16"/>
    </row>
    <row r="1953" spans="1:14" x14ac:dyDescent="0.3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6"/>
      <c r="L1953" s="15" t="str">
        <f>IF(E1953="","",IFERROR(INDEX(Aliases!$B$5:$B$80,MATCH(1,INDEX(ISNUMBER(SEARCH(Aliases!$A$5:$A$80,E1953))*(Aliases!$A$5:$A$80&lt;&gt;""),0),0)),"UNMATCHED"))</f>
        <v/>
      </c>
      <c r="M1953" s="16"/>
      <c r="N1953" s="16"/>
    </row>
    <row r="1954" spans="1:14" x14ac:dyDescent="0.3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6"/>
      <c r="L1954" s="15" t="str">
        <f>IF(E1954="","",IFERROR(INDEX(Aliases!$B$5:$B$80,MATCH(1,INDEX(ISNUMBER(SEARCH(Aliases!$A$5:$A$80,E1954))*(Aliases!$A$5:$A$80&lt;&gt;""),0),0)),"UNMATCHED"))</f>
        <v/>
      </c>
      <c r="M1954" s="16"/>
      <c r="N1954" s="16"/>
    </row>
    <row r="1955" spans="1:14" x14ac:dyDescent="0.3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6"/>
      <c r="L1955" s="15" t="str">
        <f>IF(E1955="","",IFERROR(INDEX(Aliases!$B$5:$B$80,MATCH(1,INDEX(ISNUMBER(SEARCH(Aliases!$A$5:$A$80,E1955))*(Aliases!$A$5:$A$80&lt;&gt;""),0),0)),"UNMATCHED"))</f>
        <v/>
      </c>
      <c r="M1955" s="16"/>
      <c r="N1955" s="16"/>
    </row>
    <row r="1956" spans="1:14" x14ac:dyDescent="0.3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6"/>
      <c r="L1956" s="15" t="str">
        <f>IF(E1956="","",IFERROR(INDEX(Aliases!$B$5:$B$80,MATCH(1,INDEX(ISNUMBER(SEARCH(Aliases!$A$5:$A$80,E1956))*(Aliases!$A$5:$A$80&lt;&gt;""),0),0)),"UNMATCHED"))</f>
        <v/>
      </c>
      <c r="M1956" s="16"/>
      <c r="N1956" s="16"/>
    </row>
    <row r="1957" spans="1:14" x14ac:dyDescent="0.3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6"/>
      <c r="L1957" s="15" t="str">
        <f>IF(E1957="","",IFERROR(INDEX(Aliases!$B$5:$B$80,MATCH(1,INDEX(ISNUMBER(SEARCH(Aliases!$A$5:$A$80,E1957))*(Aliases!$A$5:$A$80&lt;&gt;""),0),0)),"UNMATCHED"))</f>
        <v/>
      </c>
      <c r="M1957" s="16"/>
      <c r="N1957" s="16"/>
    </row>
    <row r="1958" spans="1:14" x14ac:dyDescent="0.3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6"/>
      <c r="L1958" s="15" t="str">
        <f>IF(E1958="","",IFERROR(INDEX(Aliases!$B$5:$B$80,MATCH(1,INDEX(ISNUMBER(SEARCH(Aliases!$A$5:$A$80,E1958))*(Aliases!$A$5:$A$80&lt;&gt;""),0),0)),"UNMATCHED"))</f>
        <v/>
      </c>
      <c r="M1958" s="16"/>
      <c r="N1958" s="16"/>
    </row>
    <row r="1959" spans="1:14" x14ac:dyDescent="0.3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6"/>
      <c r="L1959" s="15" t="str">
        <f>IF(E1959="","",IFERROR(INDEX(Aliases!$B$5:$B$80,MATCH(1,INDEX(ISNUMBER(SEARCH(Aliases!$A$5:$A$80,E1959))*(Aliases!$A$5:$A$80&lt;&gt;""),0),0)),"UNMATCHED"))</f>
        <v/>
      </c>
      <c r="M1959" s="16"/>
      <c r="N1959" s="16"/>
    </row>
    <row r="1960" spans="1:14" x14ac:dyDescent="0.3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6"/>
      <c r="L1960" s="15" t="str">
        <f>IF(E1960="","",IFERROR(INDEX(Aliases!$B$5:$B$80,MATCH(1,INDEX(ISNUMBER(SEARCH(Aliases!$A$5:$A$80,E1960))*(Aliases!$A$5:$A$80&lt;&gt;""),0),0)),"UNMATCHED"))</f>
        <v/>
      </c>
      <c r="M1960" s="16"/>
      <c r="N1960" s="16"/>
    </row>
    <row r="1961" spans="1:14" x14ac:dyDescent="0.3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6"/>
      <c r="L1961" s="15" t="str">
        <f>IF(E1961="","",IFERROR(INDEX(Aliases!$B$5:$B$80,MATCH(1,INDEX(ISNUMBER(SEARCH(Aliases!$A$5:$A$80,E1961))*(Aliases!$A$5:$A$80&lt;&gt;""),0),0)),"UNMATCHED"))</f>
        <v/>
      </c>
      <c r="M1961" s="16"/>
      <c r="N1961" s="16"/>
    </row>
    <row r="1962" spans="1:14" x14ac:dyDescent="0.3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6"/>
      <c r="L1962" s="15" t="str">
        <f>IF(E1962="","",IFERROR(INDEX(Aliases!$B$5:$B$80,MATCH(1,INDEX(ISNUMBER(SEARCH(Aliases!$A$5:$A$80,E1962))*(Aliases!$A$5:$A$80&lt;&gt;""),0),0)),"UNMATCHED"))</f>
        <v/>
      </c>
      <c r="M1962" s="16"/>
      <c r="N1962" s="16"/>
    </row>
    <row r="1963" spans="1:14" x14ac:dyDescent="0.3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6"/>
      <c r="L1963" s="15" t="str">
        <f>IF(E1963="","",IFERROR(INDEX(Aliases!$B$5:$B$80,MATCH(1,INDEX(ISNUMBER(SEARCH(Aliases!$A$5:$A$80,E1963))*(Aliases!$A$5:$A$80&lt;&gt;""),0),0)),"UNMATCHED"))</f>
        <v/>
      </c>
      <c r="M1963" s="16"/>
      <c r="N1963" s="16"/>
    </row>
    <row r="1964" spans="1:14" x14ac:dyDescent="0.3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6"/>
      <c r="L1964" s="15" t="str">
        <f>IF(E1964="","",IFERROR(INDEX(Aliases!$B$5:$B$80,MATCH(1,INDEX(ISNUMBER(SEARCH(Aliases!$A$5:$A$80,E1964))*(Aliases!$A$5:$A$80&lt;&gt;""),0),0)),"UNMATCHED"))</f>
        <v/>
      </c>
      <c r="M1964" s="16"/>
      <c r="N1964" s="16"/>
    </row>
    <row r="1965" spans="1:14" x14ac:dyDescent="0.3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6"/>
      <c r="L1965" s="15" t="str">
        <f>IF(E1965="","",IFERROR(INDEX(Aliases!$B$5:$B$80,MATCH(1,INDEX(ISNUMBER(SEARCH(Aliases!$A$5:$A$80,E1965))*(Aliases!$A$5:$A$80&lt;&gt;""),0),0)),"UNMATCHED"))</f>
        <v/>
      </c>
      <c r="M1965" s="16"/>
      <c r="N1965" s="16"/>
    </row>
    <row r="1966" spans="1:14" x14ac:dyDescent="0.3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6"/>
      <c r="L1966" s="15" t="str">
        <f>IF(E1966="","",IFERROR(INDEX(Aliases!$B$5:$B$80,MATCH(1,INDEX(ISNUMBER(SEARCH(Aliases!$A$5:$A$80,E1966))*(Aliases!$A$5:$A$80&lt;&gt;""),0),0)),"UNMATCHED"))</f>
        <v/>
      </c>
      <c r="M1966" s="16"/>
      <c r="N1966" s="16"/>
    </row>
    <row r="1967" spans="1:14" x14ac:dyDescent="0.3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6"/>
      <c r="L1967" s="15" t="str">
        <f>IF(E1967="","",IFERROR(INDEX(Aliases!$B$5:$B$80,MATCH(1,INDEX(ISNUMBER(SEARCH(Aliases!$A$5:$A$80,E1967))*(Aliases!$A$5:$A$80&lt;&gt;""),0),0)),"UNMATCHED"))</f>
        <v/>
      </c>
      <c r="M1967" s="16"/>
      <c r="N1967" s="16"/>
    </row>
    <row r="1968" spans="1:14" x14ac:dyDescent="0.3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6"/>
      <c r="L1968" s="15" t="str">
        <f>IF(E1968="","",IFERROR(INDEX(Aliases!$B$5:$B$80,MATCH(1,INDEX(ISNUMBER(SEARCH(Aliases!$A$5:$A$80,E1968))*(Aliases!$A$5:$A$80&lt;&gt;""),0),0)),"UNMATCHED"))</f>
        <v/>
      </c>
      <c r="M1968" s="16"/>
      <c r="N1968" s="16"/>
    </row>
    <row r="1969" spans="1:14" x14ac:dyDescent="0.3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6"/>
      <c r="L1969" s="15" t="str">
        <f>IF(E1969="","",IFERROR(INDEX(Aliases!$B$5:$B$80,MATCH(1,INDEX(ISNUMBER(SEARCH(Aliases!$A$5:$A$80,E1969))*(Aliases!$A$5:$A$80&lt;&gt;""),0),0)),"UNMATCHED"))</f>
        <v/>
      </c>
      <c r="M1969" s="16"/>
      <c r="N1969" s="16"/>
    </row>
    <row r="1970" spans="1:14" x14ac:dyDescent="0.3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6"/>
      <c r="L1970" s="15" t="str">
        <f>IF(E1970="","",IFERROR(INDEX(Aliases!$B$5:$B$80,MATCH(1,INDEX(ISNUMBER(SEARCH(Aliases!$A$5:$A$80,E1970))*(Aliases!$A$5:$A$80&lt;&gt;""),0),0)),"UNMATCHED"))</f>
        <v/>
      </c>
      <c r="M1970" s="16"/>
      <c r="N1970" s="16"/>
    </row>
    <row r="1971" spans="1:14" x14ac:dyDescent="0.3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6"/>
      <c r="L1971" s="15" t="str">
        <f>IF(E1971="","",IFERROR(INDEX(Aliases!$B$5:$B$80,MATCH(1,INDEX(ISNUMBER(SEARCH(Aliases!$A$5:$A$80,E1971))*(Aliases!$A$5:$A$80&lt;&gt;""),0),0)),"UNMATCHED"))</f>
        <v/>
      </c>
      <c r="M1971" s="16"/>
      <c r="N1971" s="16"/>
    </row>
    <row r="1972" spans="1:14" x14ac:dyDescent="0.3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6"/>
      <c r="L1972" s="15" t="str">
        <f>IF(E1972="","",IFERROR(INDEX(Aliases!$B$5:$B$80,MATCH(1,INDEX(ISNUMBER(SEARCH(Aliases!$A$5:$A$80,E1972))*(Aliases!$A$5:$A$80&lt;&gt;""),0),0)),"UNMATCHED"))</f>
        <v/>
      </c>
      <c r="M1972" s="16"/>
      <c r="N1972" s="16"/>
    </row>
    <row r="1973" spans="1:14" x14ac:dyDescent="0.3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6"/>
      <c r="L1973" s="15" t="str">
        <f>IF(E1973="","",IFERROR(INDEX(Aliases!$B$5:$B$80,MATCH(1,INDEX(ISNUMBER(SEARCH(Aliases!$A$5:$A$80,E1973))*(Aliases!$A$5:$A$80&lt;&gt;""),0),0)),"UNMATCHED"))</f>
        <v/>
      </c>
      <c r="M1973" s="16"/>
      <c r="N1973" s="16"/>
    </row>
    <row r="1974" spans="1:14" x14ac:dyDescent="0.3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6"/>
      <c r="L1974" s="15" t="str">
        <f>IF(E1974="","",IFERROR(INDEX(Aliases!$B$5:$B$80,MATCH(1,INDEX(ISNUMBER(SEARCH(Aliases!$A$5:$A$80,E1974))*(Aliases!$A$5:$A$80&lt;&gt;""),0),0)),"UNMATCHED"))</f>
        <v/>
      </c>
      <c r="M1974" s="16"/>
      <c r="N1974" s="16"/>
    </row>
    <row r="1975" spans="1:14" x14ac:dyDescent="0.3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6"/>
      <c r="L1975" s="15" t="str">
        <f>IF(E1975="","",IFERROR(INDEX(Aliases!$B$5:$B$80,MATCH(1,INDEX(ISNUMBER(SEARCH(Aliases!$A$5:$A$80,E1975))*(Aliases!$A$5:$A$80&lt;&gt;""),0),0)),"UNMATCHED"))</f>
        <v/>
      </c>
      <c r="M1975" s="16"/>
      <c r="N1975" s="16"/>
    </row>
    <row r="1976" spans="1:14" x14ac:dyDescent="0.3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6"/>
      <c r="L1976" s="15" t="str">
        <f>IF(E1976="","",IFERROR(INDEX(Aliases!$B$5:$B$80,MATCH(1,INDEX(ISNUMBER(SEARCH(Aliases!$A$5:$A$80,E1976))*(Aliases!$A$5:$A$80&lt;&gt;""),0),0)),"UNMATCHED"))</f>
        <v/>
      </c>
      <c r="M1976" s="16"/>
      <c r="N1976" s="16"/>
    </row>
    <row r="1977" spans="1:14" x14ac:dyDescent="0.3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6"/>
      <c r="L1977" s="15" t="str">
        <f>IF(E1977="","",IFERROR(INDEX(Aliases!$B$5:$B$80,MATCH(1,INDEX(ISNUMBER(SEARCH(Aliases!$A$5:$A$80,E1977))*(Aliases!$A$5:$A$80&lt;&gt;""),0),0)),"UNMATCHED"))</f>
        <v/>
      </c>
      <c r="M1977" s="16"/>
      <c r="N1977" s="16"/>
    </row>
    <row r="1978" spans="1:14" x14ac:dyDescent="0.3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6"/>
      <c r="L1978" s="15" t="str">
        <f>IF(E1978="","",IFERROR(INDEX(Aliases!$B$5:$B$80,MATCH(1,INDEX(ISNUMBER(SEARCH(Aliases!$A$5:$A$80,E1978))*(Aliases!$A$5:$A$80&lt;&gt;""),0),0)),"UNMATCHED"))</f>
        <v/>
      </c>
      <c r="M1978" s="16"/>
      <c r="N1978" s="16"/>
    </row>
    <row r="1979" spans="1:14" x14ac:dyDescent="0.3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6"/>
      <c r="L1979" s="15" t="str">
        <f>IF(E1979="","",IFERROR(INDEX(Aliases!$B$5:$B$80,MATCH(1,INDEX(ISNUMBER(SEARCH(Aliases!$A$5:$A$80,E1979))*(Aliases!$A$5:$A$80&lt;&gt;""),0),0)),"UNMATCHED"))</f>
        <v/>
      </c>
      <c r="M1979" s="16"/>
      <c r="N1979" s="16"/>
    </row>
    <row r="1980" spans="1:14" x14ac:dyDescent="0.3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6"/>
      <c r="L1980" s="15" t="str">
        <f>IF(E1980="","",IFERROR(INDEX(Aliases!$B$5:$B$80,MATCH(1,INDEX(ISNUMBER(SEARCH(Aliases!$A$5:$A$80,E1980))*(Aliases!$A$5:$A$80&lt;&gt;""),0),0)),"UNMATCHED"))</f>
        <v/>
      </c>
      <c r="M1980" s="16"/>
      <c r="N1980" s="16"/>
    </row>
    <row r="1981" spans="1:14" x14ac:dyDescent="0.3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6"/>
      <c r="L1981" s="15" t="str">
        <f>IF(E1981="","",IFERROR(INDEX(Aliases!$B$5:$B$80,MATCH(1,INDEX(ISNUMBER(SEARCH(Aliases!$A$5:$A$80,E1981))*(Aliases!$A$5:$A$80&lt;&gt;""),0),0)),"UNMATCHED"))</f>
        <v/>
      </c>
      <c r="M1981" s="16"/>
      <c r="N1981" s="16"/>
    </row>
    <row r="1982" spans="1:14" x14ac:dyDescent="0.3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6"/>
      <c r="L1982" s="15" t="str">
        <f>IF(E1982="","",IFERROR(INDEX(Aliases!$B$5:$B$80,MATCH(1,INDEX(ISNUMBER(SEARCH(Aliases!$A$5:$A$80,E1982))*(Aliases!$A$5:$A$80&lt;&gt;""),0),0)),"UNMATCHED"))</f>
        <v/>
      </c>
      <c r="M1982" s="16"/>
      <c r="N1982" s="16"/>
    </row>
    <row r="1983" spans="1:14" x14ac:dyDescent="0.3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6"/>
      <c r="L1983" s="15" t="str">
        <f>IF(E1983="","",IFERROR(INDEX(Aliases!$B$5:$B$80,MATCH(1,INDEX(ISNUMBER(SEARCH(Aliases!$A$5:$A$80,E1983))*(Aliases!$A$5:$A$80&lt;&gt;""),0),0)),"UNMATCHED"))</f>
        <v/>
      </c>
      <c r="M1983" s="16"/>
      <c r="N1983" s="16"/>
    </row>
    <row r="1984" spans="1:14" x14ac:dyDescent="0.3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6"/>
      <c r="L1984" s="15" t="str">
        <f>IF(E1984="","",IFERROR(INDEX(Aliases!$B$5:$B$80,MATCH(1,INDEX(ISNUMBER(SEARCH(Aliases!$A$5:$A$80,E1984))*(Aliases!$A$5:$A$80&lt;&gt;""),0),0)),"UNMATCHED"))</f>
        <v/>
      </c>
      <c r="M1984" s="16"/>
      <c r="N1984" s="16"/>
    </row>
    <row r="1985" spans="1:14" x14ac:dyDescent="0.3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6"/>
      <c r="L1985" s="15" t="str">
        <f>IF(E1985="","",IFERROR(INDEX(Aliases!$B$5:$B$80,MATCH(1,INDEX(ISNUMBER(SEARCH(Aliases!$A$5:$A$80,E1985))*(Aliases!$A$5:$A$80&lt;&gt;""),0),0)),"UNMATCHED"))</f>
        <v/>
      </c>
      <c r="M1985" s="16"/>
      <c r="N1985" s="16"/>
    </row>
    <row r="1986" spans="1:14" x14ac:dyDescent="0.3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6"/>
      <c r="L1986" s="15" t="str">
        <f>IF(E1986="","",IFERROR(INDEX(Aliases!$B$5:$B$80,MATCH(1,INDEX(ISNUMBER(SEARCH(Aliases!$A$5:$A$80,E1986))*(Aliases!$A$5:$A$80&lt;&gt;""),0),0)),"UNMATCHED"))</f>
        <v/>
      </c>
      <c r="M1986" s="16"/>
      <c r="N1986" s="16"/>
    </row>
    <row r="1987" spans="1:14" x14ac:dyDescent="0.3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6"/>
      <c r="L1987" s="15" t="str">
        <f>IF(E1987="","",IFERROR(INDEX(Aliases!$B$5:$B$80,MATCH(1,INDEX(ISNUMBER(SEARCH(Aliases!$A$5:$A$80,E1987))*(Aliases!$A$5:$A$80&lt;&gt;""),0),0)),"UNMATCHED"))</f>
        <v/>
      </c>
      <c r="M1987" s="16"/>
      <c r="N1987" s="16"/>
    </row>
    <row r="1988" spans="1:14" x14ac:dyDescent="0.3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6"/>
      <c r="L1988" s="15" t="str">
        <f>IF(E1988="","",IFERROR(INDEX(Aliases!$B$5:$B$80,MATCH(1,INDEX(ISNUMBER(SEARCH(Aliases!$A$5:$A$80,E1988))*(Aliases!$A$5:$A$80&lt;&gt;""),0),0)),"UNMATCHED"))</f>
        <v/>
      </c>
      <c r="M1988" s="16"/>
      <c r="N1988" s="16"/>
    </row>
    <row r="1989" spans="1:14" x14ac:dyDescent="0.3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6"/>
      <c r="L1989" s="15" t="str">
        <f>IF(E1989="","",IFERROR(INDEX(Aliases!$B$5:$B$80,MATCH(1,INDEX(ISNUMBER(SEARCH(Aliases!$A$5:$A$80,E1989))*(Aliases!$A$5:$A$80&lt;&gt;""),0),0)),"UNMATCHED"))</f>
        <v/>
      </c>
      <c r="M1989" s="16"/>
      <c r="N1989" s="16"/>
    </row>
    <row r="1990" spans="1:14" x14ac:dyDescent="0.3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6"/>
      <c r="L1990" s="15" t="str">
        <f>IF(E1990="","",IFERROR(INDEX(Aliases!$B$5:$B$80,MATCH(1,INDEX(ISNUMBER(SEARCH(Aliases!$A$5:$A$80,E1990))*(Aliases!$A$5:$A$80&lt;&gt;""),0),0)),"UNMATCHED"))</f>
        <v/>
      </c>
      <c r="M1990" s="16"/>
      <c r="N1990" s="16"/>
    </row>
    <row r="1991" spans="1:14" x14ac:dyDescent="0.3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6"/>
      <c r="L1991" s="15" t="str">
        <f>IF(E1991="","",IFERROR(INDEX(Aliases!$B$5:$B$80,MATCH(1,INDEX(ISNUMBER(SEARCH(Aliases!$A$5:$A$80,E1991))*(Aliases!$A$5:$A$80&lt;&gt;""),0),0)),"UNMATCHED"))</f>
        <v/>
      </c>
      <c r="M1991" s="16"/>
      <c r="N1991" s="16"/>
    </row>
    <row r="1992" spans="1:14" x14ac:dyDescent="0.3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6"/>
      <c r="L1992" s="15" t="str">
        <f>IF(E1992="","",IFERROR(INDEX(Aliases!$B$5:$B$80,MATCH(1,INDEX(ISNUMBER(SEARCH(Aliases!$A$5:$A$80,E1992))*(Aliases!$A$5:$A$80&lt;&gt;""),0),0)),"UNMATCHED"))</f>
        <v/>
      </c>
      <c r="M1992" s="16"/>
      <c r="N1992" s="16"/>
    </row>
    <row r="1993" spans="1:14" x14ac:dyDescent="0.3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6"/>
      <c r="L1993" s="15" t="str">
        <f>IF(E1993="","",IFERROR(INDEX(Aliases!$B$5:$B$80,MATCH(1,INDEX(ISNUMBER(SEARCH(Aliases!$A$5:$A$80,E1993))*(Aliases!$A$5:$A$80&lt;&gt;""),0),0)),"UNMATCHED"))</f>
        <v/>
      </c>
      <c r="M1993" s="16"/>
      <c r="N1993" s="16"/>
    </row>
    <row r="1994" spans="1:14" x14ac:dyDescent="0.3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6"/>
      <c r="L1994" s="15" t="str">
        <f>IF(E1994="","",IFERROR(INDEX(Aliases!$B$5:$B$80,MATCH(1,INDEX(ISNUMBER(SEARCH(Aliases!$A$5:$A$80,E1994))*(Aliases!$A$5:$A$80&lt;&gt;""),0),0)),"UNMATCHED"))</f>
        <v/>
      </c>
      <c r="M1994" s="16"/>
      <c r="N1994" s="16"/>
    </row>
    <row r="1995" spans="1:14" x14ac:dyDescent="0.3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6"/>
      <c r="L1995" s="15" t="str">
        <f>IF(E1995="","",IFERROR(INDEX(Aliases!$B$5:$B$80,MATCH(1,INDEX(ISNUMBER(SEARCH(Aliases!$A$5:$A$80,E1995))*(Aliases!$A$5:$A$80&lt;&gt;""),0),0)),"UNMATCHED"))</f>
        <v/>
      </c>
      <c r="M1995" s="16"/>
      <c r="N1995" s="16"/>
    </row>
    <row r="1996" spans="1:14" x14ac:dyDescent="0.3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6"/>
      <c r="L1996" s="15" t="str">
        <f>IF(E1996="","",IFERROR(INDEX(Aliases!$B$5:$B$80,MATCH(1,INDEX(ISNUMBER(SEARCH(Aliases!$A$5:$A$80,E1996))*(Aliases!$A$5:$A$80&lt;&gt;""),0),0)),"UNMATCHED"))</f>
        <v/>
      </c>
      <c r="M1996" s="16"/>
      <c r="N1996" s="16"/>
    </row>
    <row r="1997" spans="1:14" x14ac:dyDescent="0.3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6"/>
      <c r="L1997" s="15" t="str">
        <f>IF(E1997="","",IFERROR(INDEX(Aliases!$B$5:$B$80,MATCH(1,INDEX(ISNUMBER(SEARCH(Aliases!$A$5:$A$80,E1997))*(Aliases!$A$5:$A$80&lt;&gt;""),0),0)),"UNMATCHED"))</f>
        <v/>
      </c>
      <c r="M1997" s="16"/>
      <c r="N1997" s="16"/>
    </row>
    <row r="1998" spans="1:14" x14ac:dyDescent="0.3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6"/>
      <c r="L1998" s="15" t="str">
        <f>IF(E1998="","",IFERROR(INDEX(Aliases!$B$5:$B$80,MATCH(1,INDEX(ISNUMBER(SEARCH(Aliases!$A$5:$A$80,E1998))*(Aliases!$A$5:$A$80&lt;&gt;""),0),0)),"UNMATCHED"))</f>
        <v/>
      </c>
      <c r="M1998" s="16"/>
      <c r="N1998" s="16"/>
    </row>
    <row r="1999" spans="1:14" x14ac:dyDescent="0.3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6"/>
      <c r="L1999" s="15" t="str">
        <f>IF(E1999="","",IFERROR(INDEX(Aliases!$B$5:$B$80,MATCH(1,INDEX(ISNUMBER(SEARCH(Aliases!$A$5:$A$80,E1999))*(Aliases!$A$5:$A$80&lt;&gt;""),0),0)),"UNMATCHED"))</f>
        <v/>
      </c>
      <c r="M1999" s="16"/>
      <c r="N1999" s="16"/>
    </row>
    <row r="2000" spans="1:14" x14ac:dyDescent="0.3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6"/>
      <c r="L2000" s="15" t="str">
        <f>IF(E2000="","",IFERROR(INDEX(Aliases!$B$5:$B$80,MATCH(1,INDEX(ISNUMBER(SEARCH(Aliases!$A$5:$A$80,E2000))*(Aliases!$A$5:$A$80&lt;&gt;""),0),0)),"UNMATCHED"))</f>
        <v/>
      </c>
      <c r="M2000" s="16"/>
      <c r="N2000" s="16"/>
    </row>
    <row r="2001" spans="1:14" x14ac:dyDescent="0.3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6"/>
      <c r="L2001" s="15" t="str">
        <f>IF(E2001="","",IFERROR(INDEX(Aliases!$B$5:$B$80,MATCH(1,INDEX(ISNUMBER(SEARCH(Aliases!$A$5:$A$80,E2001))*(Aliases!$A$5:$A$80&lt;&gt;""),0),0)),"UNMATCHED"))</f>
        <v/>
      </c>
      <c r="M2001" s="16"/>
      <c r="N2001" s="16"/>
    </row>
    <row r="2002" spans="1:14" x14ac:dyDescent="0.3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6"/>
      <c r="L2002" s="15" t="str">
        <f>IF(E2002="","",IFERROR(INDEX(Aliases!$B$5:$B$80,MATCH(1,INDEX(ISNUMBER(SEARCH(Aliases!$A$5:$A$80,E2002))*(Aliases!$A$5:$A$80&lt;&gt;""),0),0)),"UNMATCHED"))</f>
        <v/>
      </c>
      <c r="M2002" s="16"/>
      <c r="N2002" s="16"/>
    </row>
    <row r="2003" spans="1:14" x14ac:dyDescent="0.3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6"/>
      <c r="L2003" s="15" t="str">
        <f>IF(E2003="","",IFERROR(INDEX(Aliases!$B$5:$B$80,MATCH(1,INDEX(ISNUMBER(SEARCH(Aliases!$A$5:$A$80,E2003))*(Aliases!$A$5:$A$80&lt;&gt;""),0),0)),"UNMATCHED"))</f>
        <v/>
      </c>
      <c r="M2003" s="16"/>
      <c r="N2003" s="16"/>
    </row>
    <row r="2004" spans="1:14" x14ac:dyDescent="0.3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6"/>
      <c r="L2004" s="15" t="str">
        <f>IF(E2004="","",IFERROR(INDEX(Aliases!$B$5:$B$80,MATCH(1,INDEX(ISNUMBER(SEARCH(Aliases!$A$5:$A$80,E2004))*(Aliases!$A$5:$A$80&lt;&gt;""),0),0)),"UNMATCHED"))</f>
        <v/>
      </c>
      <c r="M2004" s="16"/>
      <c r="N2004" s="16"/>
    </row>
  </sheetData>
  <dataValidations count="2">
    <dataValidation type="list" allowBlank="1" sqref="K5:K2004" xr:uid="{00000000-0002-0000-0400-000000000000}">
      <formula1>"Filed,Granted"</formula1>
      <formula2>0</formula2>
    </dataValidation>
    <dataValidation type="list" allowBlank="1" sqref="M5:M2004" xr:uid="{00000000-0002-0000-0400-000001000000}">
      <formula1>"Confirmed,False positive"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Top20</vt:lpstr>
      <vt:lpstr>Longlist_Exclusions</vt:lpstr>
      <vt:lpstr>Aliases</vt:lpstr>
      <vt:lpstr>Patent_Summary</vt:lpstr>
      <vt:lpstr>Sources</vt:lpstr>
      <vt:lpstr>WIPO_Raw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Marina TS</cp:lastModifiedBy>
  <cp:revision>0</cp:revision>
  <dcterms:created xsi:type="dcterms:W3CDTF">2026-10-19T15:00:39Z</dcterms:created>
  <dcterms:modified xsi:type="dcterms:W3CDTF">2026-10-19T15:26:06Z</dcterms:modified>
  <dc:language>en-US</dc:language>
</cp:coreProperties>
</file>